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EXCAL FORMULA\Dashboard 1\Hospital Emergency Room Dashboard\"/>
    </mc:Choice>
  </mc:AlternateContent>
  <xr:revisionPtr revIDLastSave="0" documentId="13_ncr:1_{CADD8DDA-5EB3-48B3-805A-4808277E863D}" xr6:coauthVersionLast="47" xr6:coauthVersionMax="47" xr10:uidLastSave="{00000000-0000-0000-0000-000000000000}"/>
  <bookViews>
    <workbookView xWindow="-120" yWindow="-120" windowWidth="26640" windowHeight="14370" tabRatio="705" activeTab="1" xr2:uid="{8542B2AB-CC2D-4595-AB88-6834F8C78301}"/>
  </bookViews>
  <sheets>
    <sheet name="Pivot Report" sheetId="1" r:id="rId1"/>
    <sheet name="Dashboard" sheetId="2" r:id="rId2"/>
    <sheet name="Daily ER No of paitent" sheetId="3" r:id="rId3"/>
    <sheet name="Average wait time daily trend" sheetId="4" r:id="rId4"/>
    <sheet name="Satisfaction score daily" sheetId="6" r:id="rId5"/>
  </sheets>
  <definedNames>
    <definedName name="Slicer_Date__Month">#N/A</definedName>
    <definedName name="Slicer_Date__Year">#N/A</definedName>
  </definedNames>
  <calcPr calcId="191029"/>
  <pivotCaches>
    <pivotCache cacheId="3571" r:id="rId6"/>
    <pivotCache cacheId="3574" r:id="rId7"/>
    <pivotCache cacheId="3577" r:id="rId8"/>
    <pivotCache cacheId="3580" r:id="rId9"/>
    <pivotCache cacheId="3583" r:id="rId10"/>
    <pivotCache cacheId="3586" r:id="rId11"/>
    <pivotCache cacheId="3589" r:id="rId12"/>
    <pivotCache cacheId="3592" r:id="rId13"/>
    <pivotCache cacheId="3595" r:id="rId14"/>
    <pivotCache cacheId="3598" r:id="rId15"/>
    <pivotCache cacheId="3601" r:id="rId16"/>
    <pivotCache cacheId="3604" r:id="rId17"/>
  </pivotCaches>
  <extLst>
    <ext xmlns:x14="http://schemas.microsoft.com/office/spreadsheetml/2009/9/main" uri="{876F7934-8845-4945-9796-88D515C7AA90}">
      <x14:pivotCaches>
        <pivotCache cacheId="1262" r:id="rId18"/>
        <pivotCache cacheId="1435"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36b049b-1611-4194-9cb5-22113fec7e9d" name="Hospital Emergency Room Data" connection="Query - Hospital Emergency Room Data"/>
          <x15:modelTable id="Calendar_Table_2f446bd0-bb8d-477b-8070-64adb2f7867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2" i="1" l="1"/>
  <c r="B42" i="1"/>
  <c r="C42" i="1"/>
  <c r="B43" i="1"/>
  <c r="C43" i="1"/>
  <c r="A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7C8CA5-9A06-4986-B3CB-6CFF3C3C7E04}" name="Query - Calendar_Table" description="Connection to the 'Calendar_Table' query in the workbook." type="100" refreshedVersion="8" minRefreshableVersion="5">
    <extLst>
      <ext xmlns:x15="http://schemas.microsoft.com/office/spreadsheetml/2010/11/main" uri="{DE250136-89BD-433C-8126-D09CA5730AF9}">
        <x15:connection id="631e6aa4-371c-456b-852f-5e22c848a270">
          <x15:oledbPr connection="Provider=Microsoft.Mashup.OleDb.1;Data Source=$Workbook$;Location=Calendar_Table;Extended Properties=&quot;&quot;">
            <x15:dbTables>
              <x15:dbTable name="Calendar_Table"/>
            </x15:dbTables>
          </x15:oledbPr>
        </x15:connection>
      </ext>
    </extLst>
  </connection>
  <connection id="2" xr16:uid="{77906C41-005F-41CE-B403-8BAF71ACC6C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4078de3-76f6-4f33-a8bd-938671018eeb"/>
      </ext>
    </extLst>
  </connection>
  <connection id="3" xr16:uid="{E9B9E828-9C28-4BD7-91D8-70BB1135B27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<sst xmlns="http://schemas.openxmlformats.org/spreadsheetml/2006/main" count="148" uniqueCount="69">
  <si>
    <t>Distinct Count of Patient Id</t>
  </si>
  <si>
    <t>No. of patient</t>
  </si>
  <si>
    <t>Average of Patient Waittime</t>
  </si>
  <si>
    <t>Average of Patient Satisfaction Score</t>
  </si>
  <si>
    <t>Grand Total</t>
  </si>
  <si>
    <t>2023</t>
  </si>
  <si>
    <t>2024</t>
  </si>
  <si>
    <t>Row Labels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</si>
  <si>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</si>
  <si>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</si>
  <si>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</si>
  <si>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</si>
  <si>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</si>
  <si>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</si>
  <si>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</si>
  <si>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</si>
  <si>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</si>
  <si>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</si>
  <si>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</si>
  <si>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</si>
  <si>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</si>
  <si>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</si>
  <si>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</si>
  <si>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</si>
  <si>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</si>
  <si>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</si>
  <si>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</si>
  <si>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</si>
  <si>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</si>
  <si>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</si>
  <si>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</si>
  <si>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</si>
  <si>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</si>
  <si>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</si>
  <si>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</si>
  <si>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</si>
  <si>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</si>
  <si>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</si>
  <si>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Admitted</t>
  </si>
  <si>
    <t>Not Admitted</t>
  </si>
  <si>
    <t>Count of Patient Admission Flag</t>
  </si>
  <si>
    <t>Count of Patient Admission Flag2</t>
  </si>
  <si>
    <t>Admission Status</t>
  </si>
  <si>
    <t>No. of Patient</t>
  </si>
  <si>
    <t>% Status</t>
  </si>
  <si>
    <t>0-9</t>
  </si>
  <si>
    <t>10-19</t>
  </si>
  <si>
    <t>20-29</t>
  </si>
  <si>
    <t>30-39</t>
  </si>
  <si>
    <t>40-49</t>
  </si>
  <si>
    <t>50-59</t>
  </si>
  <si>
    <t>60-69</t>
  </si>
  <si>
    <t>70-79</t>
  </si>
  <si>
    <t>Count of Age Group</t>
  </si>
  <si>
    <t>Ontime</t>
  </si>
  <si>
    <t>Delay</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</si>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</sst>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7030A0"/>
        <bgColor indexed="64"/>
      </patternFill>
    </fill>
  </fills>
  <borders count="10">
    <border>
      <left/>
      <right/>
      <top/>
      <bottom/>
      <diagonal/>
    </border>
    <border>
      <left style="thin">
        <color rgb="FFFFFF00"/>
      </left>
      <right/>
      <top/>
      <bottom/>
      <diagonal/>
    </border>
    <border>
      <left style="medium">
        <color rgb="FFFFFF00"/>
      </left>
      <right/>
      <top style="medium">
        <color rgb="FFFFFF00"/>
      </top>
      <bottom/>
      <diagonal/>
    </border>
    <border>
      <left/>
      <right/>
      <top style="medium">
        <color rgb="FFFFFF00"/>
      </top>
      <bottom/>
      <diagonal/>
    </border>
    <border>
      <left/>
      <right style="medium">
        <color rgb="FFFFFF00"/>
      </right>
      <top style="medium">
        <color rgb="FFFFFF00"/>
      </top>
      <bottom/>
      <diagonal/>
    </border>
    <border>
      <left style="medium">
        <color rgb="FFFFFF00"/>
      </left>
      <right/>
      <top/>
      <bottom/>
      <diagonal/>
    </border>
    <border>
      <left/>
      <right style="medium">
        <color rgb="FFFFFF00"/>
      </right>
      <top/>
      <bottom/>
      <diagonal/>
    </border>
    <border>
      <left style="medium">
        <color rgb="FFFFFF00"/>
      </left>
      <right/>
      <top/>
      <bottom style="medium">
        <color rgb="FFFFFF00"/>
      </bottom>
      <diagonal/>
    </border>
    <border>
      <left/>
      <right/>
      <top/>
      <bottom style="medium">
        <color rgb="FFFFFF00"/>
      </bottom>
      <diagonal/>
    </border>
    <border>
      <left/>
      <right style="medium">
        <color rgb="FFFFFF00"/>
      </right>
      <top/>
      <bottom style="medium">
        <color rgb="FFFFFF00"/>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2" fontId="0" fillId="0" borderId="0" xfId="0" applyNumberFormat="1"/>
    <xf numFmtId="0" fontId="0" fillId="0" borderId="0" xfId="0" applyAlignment="1">
      <alignment horizontal="center"/>
    </xf>
    <xf numFmtId="0" fontId="0" fillId="0" borderId="0" xfId="0" pivotButton="1"/>
    <xf numFmtId="0" fontId="0" fillId="0" borderId="0" xfId="0" applyNumberFormat="1"/>
    <xf numFmtId="0" fontId="0" fillId="0" borderId="0" xfId="0" applyAlignment="1">
      <alignment horizontal="left"/>
    </xf>
    <xf numFmtId="10" fontId="0" fillId="0" borderId="0" xfId="0" applyNumberFormat="1"/>
    <xf numFmtId="0" fontId="2" fillId="2" borderId="0" xfId="0" applyFont="1" applyFill="1"/>
    <xf numFmtId="0" fontId="2" fillId="2" borderId="0" xfId="0" applyFont="1" applyFill="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xf numFmtId="1" fontId="0" fillId="0" borderId="0" xfId="0" applyNumberFormat="1"/>
    <xf numFmtId="0" fontId="0" fillId="3" borderId="0" xfId="0" applyFill="1" applyBorder="1" applyAlignment="1">
      <alignment horizontal="center"/>
    </xf>
    <xf numFmtId="0" fontId="0" fillId="0" borderId="1" xfId="0" applyBorder="1"/>
    <xf numFmtId="0" fontId="0" fillId="0" borderId="0" xfId="0" applyBorder="1"/>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cellXfs>
  <cellStyles count="2">
    <cellStyle name="Normal" xfId="0" builtinId="0"/>
    <cellStyle name="Percent" xfId="1" builtinId="5"/>
  </cellStyles>
  <dxfs count="15">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font>
        <b/>
        <color theme="1"/>
      </font>
      <border>
        <bottom style="thin">
          <color theme="7"/>
        </bottom>
        <vertical/>
        <horizontal/>
      </border>
    </dxf>
    <dxf>
      <font>
        <b/>
        <i val="0"/>
        <sz val="10"/>
        <color theme="0" tint="-0.24994659260841701"/>
        <name val="Calibri Light"/>
        <family val="2"/>
        <scheme val="major"/>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4A664192-8A76-4FB6-8973-BC607A718B26}">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Report!PivotTable8</c:name>
    <c:fmtId val="0"/>
  </c:pivotSource>
  <c:chart>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DCE3209-4B46-42CE-B2EF-C3541C5F190E}" type="CELLRANGE">
                  <a:rPr lang="en-US"/>
                  <a:pPr>
                    <a:defRPr b="1"/>
                  </a:pPr>
                  <a:t>[CELLRANGE]</a:t>
                </a:fld>
                <a:endParaRPr lang="en-IN"/>
              </a:p>
            </c:rich>
          </c:tx>
          <c:numFmt formatCode="0%" sourceLinked="0"/>
          <c:spPr>
            <a:noFill/>
            <a:ln>
              <a:noFill/>
            </a:ln>
            <a:effectLst/>
          </c:spPr>
          <c:txPr>
            <a:bodyPr rot="0" spcFirstLastPara="1" vertOverflow="ellipsis" vert="horz" wrap="non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43C6F5D-9E41-4C63-B89C-B62F6E783872}" type="CELLRANGE">
                  <a:rPr lang="en-US"/>
                  <a:pPr>
                    <a:defRPr b="1"/>
                  </a:pPr>
                  <a:t>[CELLRANGE]</a:t>
                </a:fld>
                <a:endParaRPr lang="en-IN"/>
              </a:p>
            </c:rich>
          </c:tx>
          <c:numFmt formatCode="0%" sourceLinked="0"/>
          <c:spPr>
            <a:noFill/>
            <a:ln>
              <a:noFill/>
            </a:ln>
            <a:effectLst/>
          </c:spPr>
          <c:txPr>
            <a:bodyPr rot="0" spcFirstLastPara="1" vertOverflow="ellipsis" vert="horz" wrap="non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3.8797352554977675E-2"/>
          <c:y val="5.0925925925925923E-2"/>
          <c:w val="0.9612029219239161"/>
          <c:h val="0.8416746864975212"/>
        </c:manualLayout>
      </c:layout>
      <c:barChart>
        <c:barDir val="bar"/>
        <c:grouping val="clustered"/>
        <c:varyColors val="0"/>
        <c:ser>
          <c:idx val="0"/>
          <c:order val="0"/>
          <c:tx>
            <c:strRef>
              <c:f>'Pivot Report'!$B$35</c:f>
              <c:strCache>
                <c:ptCount val="1"/>
                <c:pt idx="0">
                  <c:v>Count of Patient Admission Flag</c:v>
                </c:pt>
              </c:strCache>
            </c:strRef>
          </c:tx>
          <c:spPr>
            <a:solidFill>
              <a:schemeClr val="accent1"/>
            </a:solidFill>
            <a:ln>
              <a:noFill/>
            </a:ln>
            <a:effectLst/>
          </c:spPr>
          <c:invertIfNegative val="0"/>
          <c:dLbls>
            <c:dLbl>
              <c:idx val="0"/>
              <c:tx>
                <c:rich>
                  <a:bodyPr/>
                  <a:lstStyle/>
                  <a:p>
                    <a:fld id="{FDCE3209-4B46-42CE-B2EF-C3541C5F190E}" type="CELLRANGE">
                      <a:rPr lang="en-US"/>
                      <a:pPr/>
                      <a:t>[CELLRANGE]</a:t>
                    </a:fld>
                    <a:endParaRPr lang="en-IN"/>
                  </a:p>
                </c:rich>
              </c:tx>
              <c:dLblPos val="outEnd"/>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5C6-4CF2-BE85-9800E86E40DC}"/>
                </c:ext>
              </c:extLst>
            </c:dLbl>
            <c:dLbl>
              <c:idx val="1"/>
              <c:tx>
                <c:rich>
                  <a:bodyPr/>
                  <a:lstStyle/>
                  <a:p>
                    <a:fld id="{143C6F5D-9E41-4C63-B89C-B62F6E783872}" type="CELLRANGE">
                      <a:rPr lang="en-US"/>
                      <a:pPr/>
                      <a:t>[CELLRANGE]</a:t>
                    </a:fld>
                    <a:endParaRPr lang="en-IN"/>
                  </a:p>
                </c:rich>
              </c:tx>
              <c:dLblPos val="outEnd"/>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5C6-4CF2-BE85-9800E86E40DC}"/>
                </c:ext>
              </c:extLst>
            </c:dLbl>
            <c:numFmt formatCode="0%" sourceLinked="0"/>
            <c:spPr>
              <a:noFill/>
              <a:ln>
                <a:noFill/>
              </a:ln>
              <a:effectLst/>
            </c:spPr>
            <c:txPr>
              <a:bodyPr rot="0" spcFirstLastPara="1" vertOverflow="ellipsis" vert="horz" wrap="non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Report'!$A$36:$A$38</c:f>
              <c:strCache>
                <c:ptCount val="2"/>
                <c:pt idx="0">
                  <c:v>Admitted</c:v>
                </c:pt>
                <c:pt idx="1">
                  <c:v>Not Admitted</c:v>
                </c:pt>
              </c:strCache>
            </c:strRef>
          </c:cat>
          <c:val>
            <c:numRef>
              <c:f>'Pivot Report'!$B$36:$B$38</c:f>
              <c:numCache>
                <c:formatCode>0.00</c:formatCode>
                <c:ptCount val="2"/>
                <c:pt idx="0">
                  <c:v>454</c:v>
                </c:pt>
                <c:pt idx="1">
                  <c:v>494</c:v>
                </c:pt>
              </c:numCache>
            </c:numRef>
          </c:val>
          <c:extLst>
            <c:ext xmlns:c15="http://schemas.microsoft.com/office/drawing/2012/chart" uri="{02D57815-91ED-43cb-92C2-25804820EDAC}">
              <c15:datalabelsRange>
                <c15:f>'Pivot Report'!$C$36:$C$37</c15:f>
                <c15:dlblRangeCache>
                  <c:ptCount val="2"/>
                  <c:pt idx="0">
                    <c:v>47.89%</c:v>
                  </c:pt>
                  <c:pt idx="1">
                    <c:v>52.11%</c:v>
                  </c:pt>
                </c15:dlblRangeCache>
              </c15:datalabelsRange>
            </c:ext>
            <c:ext xmlns:c16="http://schemas.microsoft.com/office/drawing/2014/chart" uri="{C3380CC4-5D6E-409C-BE32-E72D297353CC}">
              <c16:uniqueId val="{0000000B-C5C6-4CF2-BE85-9800E86E40DC}"/>
            </c:ext>
          </c:extLst>
        </c:ser>
        <c:ser>
          <c:idx val="1"/>
          <c:order val="1"/>
          <c:tx>
            <c:strRef>
              <c:f>'Pivot Report'!$C$35</c:f>
              <c:strCache>
                <c:ptCount val="1"/>
                <c:pt idx="0">
                  <c:v>Count of Patient Admission Flag2</c:v>
                </c:pt>
              </c:strCache>
            </c:strRef>
          </c:tx>
          <c:spPr>
            <a:solidFill>
              <a:schemeClr val="accent2"/>
            </a:solidFill>
            <a:ln>
              <a:noFill/>
            </a:ln>
            <a:effectLst/>
          </c:spPr>
          <c:invertIfNegative val="0"/>
          <c:dLbls>
            <c:delete val="1"/>
          </c:dLbls>
          <c:cat>
            <c:strRef>
              <c:f>'Pivot Report'!$A$36:$A$38</c:f>
              <c:strCache>
                <c:ptCount val="2"/>
                <c:pt idx="0">
                  <c:v>Admitted</c:v>
                </c:pt>
                <c:pt idx="1">
                  <c:v>Not Admitted</c:v>
                </c:pt>
              </c:strCache>
            </c:strRef>
          </c:cat>
          <c:val>
            <c:numRef>
              <c:f>'Pivot Report'!$C$36:$C$38</c:f>
              <c:numCache>
                <c:formatCode>0.00%</c:formatCode>
                <c:ptCount val="2"/>
                <c:pt idx="0">
                  <c:v>0.47890295358649787</c:v>
                </c:pt>
                <c:pt idx="1">
                  <c:v>0.52109704641350207</c:v>
                </c:pt>
              </c:numCache>
            </c:numRef>
          </c:val>
          <c:extLst>
            <c:ext xmlns:c16="http://schemas.microsoft.com/office/drawing/2014/chart" uri="{C3380CC4-5D6E-409C-BE32-E72D297353CC}">
              <c16:uniqueId val="{0000000C-C5C6-4CF2-BE85-9800E86E40DC}"/>
            </c:ext>
          </c:extLst>
        </c:ser>
        <c:dLbls>
          <c:dLblPos val="outEnd"/>
          <c:showLegendKey val="0"/>
          <c:showVal val="1"/>
          <c:showCatName val="0"/>
          <c:showSerName val="0"/>
          <c:showPercent val="0"/>
          <c:showBubbleSize val="0"/>
        </c:dLbls>
        <c:gapWidth val="60"/>
        <c:axId val="2103254728"/>
        <c:axId val="2103251128"/>
      </c:barChart>
      <c:catAx>
        <c:axId val="2103254728"/>
        <c:scaling>
          <c:orientation val="minMax"/>
        </c:scaling>
        <c:delete val="1"/>
        <c:axPos val="l"/>
        <c:numFmt formatCode="General" sourceLinked="1"/>
        <c:majorTickMark val="none"/>
        <c:minorTickMark val="none"/>
        <c:tickLblPos val="nextTo"/>
        <c:crossAx val="2103251128"/>
        <c:crosses val="autoZero"/>
        <c:auto val="1"/>
        <c:lblAlgn val="ctr"/>
        <c:lblOffset val="100"/>
        <c:noMultiLvlLbl val="0"/>
      </c:catAx>
      <c:valAx>
        <c:axId val="2103251128"/>
        <c:scaling>
          <c:orientation val="minMax"/>
        </c:scaling>
        <c:delete val="1"/>
        <c:axPos val="b"/>
        <c:numFmt formatCode="0.00" sourceLinked="1"/>
        <c:majorTickMark val="none"/>
        <c:minorTickMark val="none"/>
        <c:tickLblPos val="nextTo"/>
        <c:crossAx val="2103254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28553794916079E-2"/>
          <c:y val="8.2304526748971193E-2"/>
          <c:w val="0.93834289241016788"/>
          <c:h val="0.83539094650205759"/>
        </c:manualLayout>
      </c:layout>
      <c:areaChart>
        <c:grouping val="standard"/>
        <c:varyColors val="0"/>
        <c:ser>
          <c:idx val="0"/>
          <c:order val="0"/>
          <c:tx>
            <c:strRef>
              <c:f>'Pivot Report'!$F$2</c:f>
              <c:strCache>
                <c:ptCount val="1"/>
                <c:pt idx="0">
                  <c:v>Total</c:v>
                </c:pt>
              </c:strCache>
            </c:strRef>
          </c:tx>
          <c:spPr>
            <a:solidFill>
              <a:schemeClr val="accent1"/>
            </a:solidFill>
            <a:ln w="25400">
              <a:noFill/>
            </a:ln>
            <a:effectLst/>
          </c:spPr>
          <c:cat>
            <c:strRef>
              <c:f>'Pivot Report'!$E$3:$E$33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Report'!$F$3:$F$33</c:f>
              <c:numCache>
                <c:formatCode>General</c:formatCode>
                <c:ptCount val="30"/>
                <c:pt idx="0">
                  <c:v>31</c:v>
                </c:pt>
                <c:pt idx="1">
                  <c:v>32</c:v>
                </c:pt>
                <c:pt idx="2">
                  <c:v>31</c:v>
                </c:pt>
                <c:pt idx="3">
                  <c:v>29</c:v>
                </c:pt>
                <c:pt idx="4">
                  <c:v>34</c:v>
                </c:pt>
                <c:pt idx="5">
                  <c:v>31</c:v>
                </c:pt>
                <c:pt idx="6">
                  <c:v>27</c:v>
                </c:pt>
                <c:pt idx="7">
                  <c:v>32</c:v>
                </c:pt>
                <c:pt idx="8">
                  <c:v>27</c:v>
                </c:pt>
                <c:pt idx="9">
                  <c:v>27</c:v>
                </c:pt>
                <c:pt idx="10">
                  <c:v>33</c:v>
                </c:pt>
                <c:pt idx="11">
                  <c:v>42</c:v>
                </c:pt>
                <c:pt idx="12">
                  <c:v>25</c:v>
                </c:pt>
                <c:pt idx="13">
                  <c:v>34</c:v>
                </c:pt>
                <c:pt idx="14">
                  <c:v>32</c:v>
                </c:pt>
                <c:pt idx="15">
                  <c:v>34</c:v>
                </c:pt>
                <c:pt idx="16">
                  <c:v>26</c:v>
                </c:pt>
                <c:pt idx="17">
                  <c:v>36</c:v>
                </c:pt>
                <c:pt idx="18">
                  <c:v>31</c:v>
                </c:pt>
                <c:pt idx="19">
                  <c:v>32</c:v>
                </c:pt>
                <c:pt idx="20">
                  <c:v>33</c:v>
                </c:pt>
                <c:pt idx="21">
                  <c:v>39</c:v>
                </c:pt>
                <c:pt idx="22">
                  <c:v>27</c:v>
                </c:pt>
                <c:pt idx="23">
                  <c:v>32</c:v>
                </c:pt>
                <c:pt idx="24">
                  <c:v>33</c:v>
                </c:pt>
                <c:pt idx="25">
                  <c:v>34</c:v>
                </c:pt>
                <c:pt idx="26">
                  <c:v>35</c:v>
                </c:pt>
                <c:pt idx="27">
                  <c:v>32</c:v>
                </c:pt>
                <c:pt idx="28">
                  <c:v>27</c:v>
                </c:pt>
                <c:pt idx="29">
                  <c:v>30</c:v>
                </c:pt>
              </c:numCache>
            </c:numRef>
          </c:val>
          <c:extLst>
            <c:ext xmlns:c16="http://schemas.microsoft.com/office/drawing/2014/chart" uri="{C3380CC4-5D6E-409C-BE32-E72D297353CC}">
              <c16:uniqueId val="{00000005-DF90-4D35-AEB5-AF89EBFD3EB1}"/>
            </c:ext>
          </c:extLst>
        </c:ser>
        <c:dLbls>
          <c:showLegendKey val="0"/>
          <c:showVal val="0"/>
          <c:showCatName val="0"/>
          <c:showSerName val="0"/>
          <c:showPercent val="0"/>
          <c:showBubbleSize val="0"/>
        </c:dLbls>
        <c:axId val="1322708608"/>
        <c:axId val="1322711128"/>
      </c:areaChart>
      <c:catAx>
        <c:axId val="1322708608"/>
        <c:scaling>
          <c:orientation val="minMax"/>
        </c:scaling>
        <c:delete val="1"/>
        <c:axPos val="b"/>
        <c:numFmt formatCode="General" sourceLinked="1"/>
        <c:majorTickMark val="out"/>
        <c:minorTickMark val="none"/>
        <c:tickLblPos val="nextTo"/>
        <c:crossAx val="1322711128"/>
        <c:crosses val="autoZero"/>
        <c:auto val="1"/>
        <c:lblAlgn val="ctr"/>
        <c:lblOffset val="100"/>
        <c:noMultiLvlLbl val="0"/>
      </c:catAx>
      <c:valAx>
        <c:axId val="1322711128"/>
        <c:scaling>
          <c:orientation val="minMax"/>
        </c:scaling>
        <c:delete val="1"/>
        <c:axPos val="l"/>
        <c:numFmt formatCode="General" sourceLinked="1"/>
        <c:majorTickMark val="none"/>
        <c:minorTickMark val="none"/>
        <c:tickLblPos val="nextTo"/>
        <c:crossAx val="13227086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64783427495289E-2"/>
          <c:y val="0.25287356321839083"/>
          <c:w val="0.93973634651600757"/>
          <c:h val="0.74712643678160917"/>
        </c:manualLayout>
      </c:layout>
      <c:areaChart>
        <c:grouping val="standard"/>
        <c:varyColors val="0"/>
        <c:ser>
          <c:idx val="0"/>
          <c:order val="0"/>
          <c:tx>
            <c:strRef>
              <c:f>'Pivot Report'!$I$2</c:f>
              <c:strCache>
                <c:ptCount val="1"/>
                <c:pt idx="0">
                  <c:v>Total</c:v>
                </c:pt>
              </c:strCache>
            </c:strRef>
          </c:tx>
          <c:spPr>
            <a:solidFill>
              <a:schemeClr val="accent1"/>
            </a:solidFill>
            <a:ln w="25400">
              <a:noFill/>
            </a:ln>
            <a:effectLst/>
          </c:spPr>
          <c:cat>
            <c:strRef>
              <c:f>'Pivot Report'!$H$3:$H$33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Report'!$I$3:$I$33</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5-F3E4-4BC2-B72B-4E92F905D16B}"/>
            </c:ext>
          </c:extLst>
        </c:ser>
        <c:dLbls>
          <c:showLegendKey val="0"/>
          <c:showVal val="0"/>
          <c:showCatName val="0"/>
          <c:showSerName val="0"/>
          <c:showPercent val="0"/>
          <c:showBubbleSize val="0"/>
        </c:dLbls>
        <c:axId val="2103239608"/>
        <c:axId val="2103239968"/>
      </c:areaChart>
      <c:catAx>
        <c:axId val="2103239608"/>
        <c:scaling>
          <c:orientation val="minMax"/>
        </c:scaling>
        <c:delete val="1"/>
        <c:axPos val="b"/>
        <c:numFmt formatCode="General" sourceLinked="1"/>
        <c:majorTickMark val="out"/>
        <c:minorTickMark val="none"/>
        <c:tickLblPos val="nextTo"/>
        <c:crossAx val="2103239968"/>
        <c:crosses val="autoZero"/>
        <c:auto val="1"/>
        <c:lblAlgn val="ctr"/>
        <c:lblOffset val="100"/>
        <c:noMultiLvlLbl val="0"/>
      </c:catAx>
      <c:valAx>
        <c:axId val="2103239968"/>
        <c:scaling>
          <c:orientation val="minMax"/>
        </c:scaling>
        <c:delete val="1"/>
        <c:axPos val="l"/>
        <c:numFmt formatCode="0.00" sourceLinked="1"/>
        <c:majorTickMark val="none"/>
        <c:minorTickMark val="none"/>
        <c:tickLblPos val="nextTo"/>
        <c:crossAx val="21032396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5.0925925925925923E-2"/>
          <c:w val="0.98055555555555551"/>
          <c:h val="0.93055555555555558"/>
        </c:manualLayout>
      </c:layout>
      <c:areaChart>
        <c:grouping val="standard"/>
        <c:varyColors val="0"/>
        <c:ser>
          <c:idx val="0"/>
          <c:order val="0"/>
          <c:tx>
            <c:strRef>
              <c:f>'Pivot Report'!$L$2</c:f>
              <c:strCache>
                <c:ptCount val="1"/>
                <c:pt idx="0">
                  <c:v>Total</c:v>
                </c:pt>
              </c:strCache>
            </c:strRef>
          </c:tx>
          <c:spPr>
            <a:solidFill>
              <a:schemeClr val="accent1"/>
            </a:solidFill>
            <a:ln w="25400">
              <a:noFill/>
            </a:ln>
            <a:effectLst/>
          </c:spPr>
          <c:cat>
            <c:strRef>
              <c:f>'Pivot Report'!$K$3:$K$33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Report'!$L$3:$L$33</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5-29DD-4EFA-AFFA-7280803017AA}"/>
            </c:ext>
          </c:extLst>
        </c:ser>
        <c:dLbls>
          <c:showLegendKey val="0"/>
          <c:showVal val="0"/>
          <c:showCatName val="0"/>
          <c:showSerName val="0"/>
          <c:showPercent val="0"/>
          <c:showBubbleSize val="0"/>
        </c:dLbls>
        <c:axId val="2103250048"/>
        <c:axId val="2103253648"/>
      </c:areaChart>
      <c:catAx>
        <c:axId val="2103250048"/>
        <c:scaling>
          <c:orientation val="minMax"/>
        </c:scaling>
        <c:delete val="1"/>
        <c:axPos val="b"/>
        <c:numFmt formatCode="General" sourceLinked="1"/>
        <c:majorTickMark val="out"/>
        <c:minorTickMark val="none"/>
        <c:tickLblPos val="nextTo"/>
        <c:crossAx val="2103253648"/>
        <c:crosses val="autoZero"/>
        <c:auto val="1"/>
        <c:lblAlgn val="ctr"/>
        <c:lblOffset val="100"/>
        <c:noMultiLvlLbl val="0"/>
      </c:catAx>
      <c:valAx>
        <c:axId val="2103253648"/>
        <c:scaling>
          <c:orientation val="minMax"/>
        </c:scaling>
        <c:delete val="1"/>
        <c:axPos val="l"/>
        <c:numFmt formatCode="0.00" sourceLinked="1"/>
        <c:majorTickMark val="none"/>
        <c:minorTickMark val="none"/>
        <c:tickLblPos val="nextTo"/>
        <c:crossAx val="2103250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20841180163214E-2"/>
          <c:y val="6.7278287461773695E-2"/>
          <c:w val="0.94475831763967355"/>
          <c:h val="0.66851212405788718"/>
        </c:manualLayout>
      </c:layout>
      <c:barChart>
        <c:barDir val="col"/>
        <c:grouping val="clustered"/>
        <c:varyColors val="0"/>
        <c:ser>
          <c:idx val="0"/>
          <c:order val="0"/>
          <c:tx>
            <c:strRef>
              <c:f>'Pivot Report'!$G$35</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Report'!$F$36:$F$44</c:f>
              <c:strCache>
                <c:ptCount val="8"/>
                <c:pt idx="0">
                  <c:v>0-9</c:v>
                </c:pt>
                <c:pt idx="1">
                  <c:v>10-19</c:v>
                </c:pt>
                <c:pt idx="2">
                  <c:v>20-29</c:v>
                </c:pt>
                <c:pt idx="3">
                  <c:v>30-39</c:v>
                </c:pt>
                <c:pt idx="4">
                  <c:v>40-49</c:v>
                </c:pt>
                <c:pt idx="5">
                  <c:v>50-59</c:v>
                </c:pt>
                <c:pt idx="6">
                  <c:v>60-69</c:v>
                </c:pt>
                <c:pt idx="7">
                  <c:v>70-79</c:v>
                </c:pt>
              </c:strCache>
            </c:strRef>
          </c:cat>
          <c:val>
            <c:numRef>
              <c:f>'Pivot Report'!$G$36:$G$44</c:f>
              <c:numCache>
                <c:formatCode>0</c:formatCode>
                <c:ptCount val="8"/>
                <c:pt idx="0">
                  <c:v>129</c:v>
                </c:pt>
                <c:pt idx="1">
                  <c:v>124</c:v>
                </c:pt>
                <c:pt idx="2">
                  <c:v>133</c:v>
                </c:pt>
                <c:pt idx="3">
                  <c:v>122</c:v>
                </c:pt>
                <c:pt idx="4">
                  <c:v>96</c:v>
                </c:pt>
                <c:pt idx="5">
                  <c:v>110</c:v>
                </c:pt>
                <c:pt idx="6">
                  <c:v>125</c:v>
                </c:pt>
                <c:pt idx="7">
                  <c:v>109</c:v>
                </c:pt>
              </c:numCache>
            </c:numRef>
          </c:val>
          <c:extLst>
            <c:ext xmlns:c16="http://schemas.microsoft.com/office/drawing/2014/chart" uri="{C3380CC4-5D6E-409C-BE32-E72D297353CC}">
              <c16:uniqueId val="{00000005-2BBE-4F35-958C-04F7200187B9}"/>
            </c:ext>
          </c:extLst>
        </c:ser>
        <c:dLbls>
          <c:dLblPos val="outEnd"/>
          <c:showLegendKey val="0"/>
          <c:showVal val="1"/>
          <c:showCatName val="0"/>
          <c:showSerName val="0"/>
          <c:showPercent val="0"/>
          <c:showBubbleSize val="0"/>
        </c:dLbls>
        <c:gapWidth val="219"/>
        <c:overlap val="-27"/>
        <c:axId val="196507007"/>
        <c:axId val="196517447"/>
      </c:barChart>
      <c:catAx>
        <c:axId val="19650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517447"/>
        <c:crosses val="autoZero"/>
        <c:auto val="1"/>
        <c:lblAlgn val="ctr"/>
        <c:lblOffset val="100"/>
        <c:noMultiLvlLbl val="0"/>
      </c:catAx>
      <c:valAx>
        <c:axId val="196517447"/>
        <c:scaling>
          <c:orientation val="minMax"/>
        </c:scaling>
        <c:delete val="1"/>
        <c:axPos val="l"/>
        <c:numFmt formatCode="0" sourceLinked="1"/>
        <c:majorTickMark val="none"/>
        <c:minorTickMark val="none"/>
        <c:tickLblPos val="nextTo"/>
        <c:crossAx val="19650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Report!PivotTable10</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61442636929267"/>
          <c:y val="0.14762304440433893"/>
          <c:w val="0.61338715909242314"/>
          <c:h val="0.65672467004716994"/>
        </c:manualLayout>
      </c:layout>
      <c:pieChart>
        <c:varyColors val="1"/>
        <c:ser>
          <c:idx val="0"/>
          <c:order val="0"/>
          <c:tx>
            <c:strRef>
              <c:f>'Pivot Report'!$J$35</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Report'!$I$36:$I$38</c:f>
              <c:strCache>
                <c:ptCount val="2"/>
                <c:pt idx="0">
                  <c:v>Delay</c:v>
                </c:pt>
                <c:pt idx="1">
                  <c:v>Ontime</c:v>
                </c:pt>
              </c:strCache>
            </c:strRef>
          </c:cat>
          <c:val>
            <c:numRef>
              <c:f>'Pivot Report'!$J$36:$J$38</c:f>
              <c:numCache>
                <c:formatCode>0</c:formatCode>
                <c:ptCount val="2"/>
                <c:pt idx="0">
                  <c:v>541</c:v>
                </c:pt>
                <c:pt idx="1">
                  <c:v>407</c:v>
                </c:pt>
              </c:numCache>
            </c:numRef>
          </c:val>
          <c:extLst>
            <c:ext xmlns:c16="http://schemas.microsoft.com/office/drawing/2014/chart" uri="{C3380CC4-5D6E-409C-BE32-E72D297353CC}">
              <c16:uniqueId val="{00000009-BA60-4570-A1E1-56A55054D22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4439692500366407E-2"/>
          <c:y val="9.8374161563138177E-3"/>
          <c:w val="0.76557176545825167"/>
          <c:h val="0.156251093613298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Report!PivotTable11</c:name>
    <c:fmtId val="1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263367814995976"/>
          <c:y val="0.17265322603905284"/>
          <c:w val="0.55630032520556116"/>
          <c:h val="0.63271552594387237"/>
        </c:manualLayout>
      </c:layout>
      <c:doughnutChart>
        <c:varyColors val="1"/>
        <c:ser>
          <c:idx val="0"/>
          <c:order val="0"/>
          <c:tx>
            <c:strRef>
              <c:f>'Pivot Report'!$J$42</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Report'!$I$43:$I$45</c:f>
              <c:strCache>
                <c:ptCount val="2"/>
                <c:pt idx="0">
                  <c:v>Female</c:v>
                </c:pt>
                <c:pt idx="1">
                  <c:v>Male</c:v>
                </c:pt>
              </c:strCache>
            </c:strRef>
          </c:cat>
          <c:val>
            <c:numRef>
              <c:f>'Pivot Report'!$J$43:$J$45</c:f>
              <c:numCache>
                <c:formatCode>0</c:formatCode>
                <c:ptCount val="2"/>
                <c:pt idx="0">
                  <c:v>476</c:v>
                </c:pt>
                <c:pt idx="1">
                  <c:v>472</c:v>
                </c:pt>
              </c:numCache>
            </c:numRef>
          </c:val>
          <c:extLst>
            <c:ext xmlns:c16="http://schemas.microsoft.com/office/drawing/2014/chart" uri="{C3380CC4-5D6E-409C-BE32-E72D297353CC}">
              <c16:uniqueId val="{00000009-8A0B-43C2-9DF4-FBC9B585A2F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1403192005177321"/>
          <c:y val="1.739840212281157E-2"/>
          <c:w val="0.7957909920291163"/>
          <c:h val="0.137364367915549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Report!PivotTable12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10733550743769"/>
          <c:y val="5.2568677948549677E-2"/>
          <c:w val="0.71163623644066043"/>
          <c:h val="0.80884117109618303"/>
        </c:manualLayout>
      </c:layout>
      <c:barChart>
        <c:barDir val="bar"/>
        <c:grouping val="clustered"/>
        <c:varyColors val="0"/>
        <c:ser>
          <c:idx val="0"/>
          <c:order val="0"/>
          <c:tx>
            <c:strRef>
              <c:f>'Pivot Report'!$J$48</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Report'!$I$49:$I$57</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Report'!$J$49:$J$57</c:f>
              <c:numCache>
                <c:formatCode>0</c:formatCode>
                <c:ptCount val="8"/>
                <c:pt idx="0">
                  <c:v>7</c:v>
                </c:pt>
                <c:pt idx="1">
                  <c:v>20</c:v>
                </c:pt>
                <c:pt idx="2">
                  <c:v>21</c:v>
                </c:pt>
                <c:pt idx="3">
                  <c:v>26</c:v>
                </c:pt>
                <c:pt idx="4">
                  <c:v>31</c:v>
                </c:pt>
                <c:pt idx="5">
                  <c:v>89</c:v>
                </c:pt>
                <c:pt idx="6">
                  <c:v>207</c:v>
                </c:pt>
                <c:pt idx="7">
                  <c:v>547</c:v>
                </c:pt>
              </c:numCache>
            </c:numRef>
          </c:val>
          <c:extLst>
            <c:ext xmlns:c16="http://schemas.microsoft.com/office/drawing/2014/chart" uri="{C3380CC4-5D6E-409C-BE32-E72D297353CC}">
              <c16:uniqueId val="{00000005-8EEA-4510-B9F9-6ED5E31BB7DA}"/>
            </c:ext>
          </c:extLst>
        </c:ser>
        <c:dLbls>
          <c:dLblPos val="outEnd"/>
          <c:showLegendKey val="0"/>
          <c:showVal val="1"/>
          <c:showCatName val="0"/>
          <c:showSerName val="0"/>
          <c:showPercent val="0"/>
          <c:showBubbleSize val="0"/>
        </c:dLbls>
        <c:gapWidth val="32"/>
        <c:axId val="2103258688"/>
        <c:axId val="2103259408"/>
      </c:barChart>
      <c:catAx>
        <c:axId val="210325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3259408"/>
        <c:crosses val="autoZero"/>
        <c:auto val="1"/>
        <c:lblAlgn val="ctr"/>
        <c:lblOffset val="100"/>
        <c:noMultiLvlLbl val="0"/>
      </c:catAx>
      <c:valAx>
        <c:axId val="2103259408"/>
        <c:scaling>
          <c:orientation val="minMax"/>
        </c:scaling>
        <c:delete val="1"/>
        <c:axPos val="b"/>
        <c:numFmt formatCode="0" sourceLinked="1"/>
        <c:majorTickMark val="none"/>
        <c:minorTickMark val="none"/>
        <c:tickLblPos val="nextTo"/>
        <c:crossAx val="210325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0236072361948E-3"/>
          <c:y val="2.7830487033523088E-2"/>
          <c:w val="0.98057395278552761"/>
          <c:h val="0.79284435745342074"/>
        </c:manualLayout>
      </c:layout>
      <c:areaChart>
        <c:grouping val="standard"/>
        <c:varyColors val="0"/>
        <c:ser>
          <c:idx val="0"/>
          <c:order val="0"/>
          <c:tx>
            <c:strRef>
              <c:f>'Pivot Report'!$F$2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Report'!$E$3:$E$33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Report'!$F$3:$F$33</c:f>
              <c:numCache>
                <c:formatCode>General</c:formatCode>
                <c:ptCount val="30"/>
                <c:pt idx="0">
                  <c:v>31</c:v>
                </c:pt>
                <c:pt idx="1">
                  <c:v>32</c:v>
                </c:pt>
                <c:pt idx="2">
                  <c:v>31</c:v>
                </c:pt>
                <c:pt idx="3">
                  <c:v>29</c:v>
                </c:pt>
                <c:pt idx="4">
                  <c:v>34</c:v>
                </c:pt>
                <c:pt idx="5">
                  <c:v>31</c:v>
                </c:pt>
                <c:pt idx="6">
                  <c:v>27</c:v>
                </c:pt>
                <c:pt idx="7">
                  <c:v>32</c:v>
                </c:pt>
                <c:pt idx="8">
                  <c:v>27</c:v>
                </c:pt>
                <c:pt idx="9">
                  <c:v>27</c:v>
                </c:pt>
                <c:pt idx="10">
                  <c:v>33</c:v>
                </c:pt>
                <c:pt idx="11">
                  <c:v>42</c:v>
                </c:pt>
                <c:pt idx="12">
                  <c:v>25</c:v>
                </c:pt>
                <c:pt idx="13">
                  <c:v>34</c:v>
                </c:pt>
                <c:pt idx="14">
                  <c:v>32</c:v>
                </c:pt>
                <c:pt idx="15">
                  <c:v>34</c:v>
                </c:pt>
                <c:pt idx="16">
                  <c:v>26</c:v>
                </c:pt>
                <c:pt idx="17">
                  <c:v>36</c:v>
                </c:pt>
                <c:pt idx="18">
                  <c:v>31</c:v>
                </c:pt>
                <c:pt idx="19">
                  <c:v>32</c:v>
                </c:pt>
                <c:pt idx="20">
                  <c:v>33</c:v>
                </c:pt>
                <c:pt idx="21">
                  <c:v>39</c:v>
                </c:pt>
                <c:pt idx="22">
                  <c:v>27</c:v>
                </c:pt>
                <c:pt idx="23">
                  <c:v>32</c:v>
                </c:pt>
                <c:pt idx="24">
                  <c:v>33</c:v>
                </c:pt>
                <c:pt idx="25">
                  <c:v>34</c:v>
                </c:pt>
                <c:pt idx="26">
                  <c:v>35</c:v>
                </c:pt>
                <c:pt idx="27">
                  <c:v>32</c:v>
                </c:pt>
                <c:pt idx="28">
                  <c:v>27</c:v>
                </c:pt>
                <c:pt idx="29">
                  <c:v>30</c:v>
                </c:pt>
              </c:numCache>
            </c:numRef>
          </c:val>
          <c:extLst>
            <c:ext xmlns:c16="http://schemas.microsoft.com/office/drawing/2014/chart" uri="{C3380CC4-5D6E-409C-BE32-E72D297353CC}">
              <c16:uniqueId val="{00000004-DDBC-4109-81EA-1AD49B9809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81134528"/>
        <c:axId val="481132368"/>
      </c:areaChart>
      <c:catAx>
        <c:axId val="4811345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1132368"/>
        <c:crosses val="autoZero"/>
        <c:auto val="1"/>
        <c:lblAlgn val="ctr"/>
        <c:lblOffset val="100"/>
        <c:noMultiLvlLbl val="0"/>
      </c:catAx>
      <c:valAx>
        <c:axId val="481132368"/>
        <c:scaling>
          <c:orientation val="minMax"/>
        </c:scaling>
        <c:delete val="1"/>
        <c:axPos val="l"/>
        <c:numFmt formatCode="General" sourceLinked="1"/>
        <c:majorTickMark val="out"/>
        <c:minorTickMark val="none"/>
        <c:tickLblPos val="nextTo"/>
        <c:crossAx val="481134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51933213153953E-2"/>
          <c:y val="3.9215686274509803E-2"/>
          <c:w val="0.93907070447380847"/>
          <c:h val="0.74821143346386509"/>
        </c:manualLayout>
      </c:layout>
      <c:areaChart>
        <c:grouping val="standard"/>
        <c:varyColors val="0"/>
        <c:ser>
          <c:idx val="0"/>
          <c:order val="0"/>
          <c:tx>
            <c:strRef>
              <c:f>'Pivot Report'!$I$2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Report'!$H$3:$H$33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Report'!$I$3:$I$33</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4-7166-4533-BE63-8CCCBEF5BB4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03255808"/>
        <c:axId val="2103246088"/>
      </c:areaChart>
      <c:catAx>
        <c:axId val="2103255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3246088"/>
        <c:crosses val="autoZero"/>
        <c:auto val="1"/>
        <c:lblAlgn val="ctr"/>
        <c:lblOffset val="100"/>
        <c:noMultiLvlLbl val="0"/>
      </c:catAx>
      <c:valAx>
        <c:axId val="2103246088"/>
        <c:scaling>
          <c:orientation val="minMax"/>
        </c:scaling>
        <c:delete val="1"/>
        <c:axPos val="l"/>
        <c:numFmt formatCode="0.00" sourceLinked="1"/>
        <c:majorTickMark val="out"/>
        <c:minorTickMark val="none"/>
        <c:tickLblPos val="nextTo"/>
        <c:crossAx val="2103255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[abc.xlsx]Pivot Report!PivotTable7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Report'!$K$3:$K$33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Report'!$L$3:$L$33</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4-816E-4121-A49F-5D404EEBC7E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03250048"/>
        <c:axId val="2103253648"/>
      </c:areaChart>
      <c:catAx>
        <c:axId val="21032500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3253648"/>
        <c:crosses val="autoZero"/>
        <c:auto val="1"/>
        <c:lblAlgn val="ctr"/>
        <c:lblOffset val="100"/>
        <c:noMultiLvlLbl val="0"/>
      </c:catAx>
      <c:valAx>
        <c:axId val="2103253648"/>
        <c:scaling>
          <c:orientation val="minMax"/>
        </c:scaling>
        <c:delete val="1"/>
        <c:axPos val="l"/>
        <c:numFmt formatCode="0.00" sourceLinked="1"/>
        <c:majorTickMark val="out"/>
        <c:minorTickMark val="none"/>
        <c:tickLblPos val="nextTo"/>
        <c:crossAx val="2103250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emf"/><Relationship Id="rId1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hyperlink" Target="#'Daily ER No of paitent'!A1"/><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Satisfaction score daily'!A1"/><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hyperlink" Target="#'Average wait time daily trend'!A1"/><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3</xdr:col>
      <xdr:colOff>19051</xdr:colOff>
      <xdr:row>41</xdr:row>
      <xdr:rowOff>9525</xdr:rowOff>
    </xdr:from>
    <xdr:to>
      <xdr:col>3</xdr:col>
      <xdr:colOff>1143001</xdr:colOff>
      <xdr:row>43</xdr:row>
      <xdr:rowOff>0</xdr:rowOff>
    </xdr:to>
    <xdr:graphicFrame macro="">
      <xdr:nvGraphicFramePr>
        <xdr:cNvPr id="8" name="Chart 7">
          <a:extLst>
            <a:ext uri="{FF2B5EF4-FFF2-40B4-BE49-F238E27FC236}">
              <a16:creationId xmlns:a16="http://schemas.microsoft.com/office/drawing/2014/main" id="{996E767F-3D9B-1836-F771-22A5B6B02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123825</xdr:colOff>
      <xdr:row>1</xdr:row>
      <xdr:rowOff>123825</xdr:rowOff>
    </xdr:from>
    <xdr:to>
      <xdr:col>8</xdr:col>
      <xdr:colOff>523875</xdr:colOff>
      <xdr:row>4</xdr:row>
      <xdr:rowOff>95250</xdr:rowOff>
    </xdr:to>
    <xdr:sp macro="" textlink="">
      <xdr:nvSpPr>
        <xdr:cNvPr id="2" name="Rectangle: Rounded Corners 1">
          <a:extLst>
            <a:ext uri="{FF2B5EF4-FFF2-40B4-BE49-F238E27FC236}">
              <a16:creationId xmlns:a16="http://schemas.microsoft.com/office/drawing/2014/main" id="{EEA83A3D-2E00-6363-DD69-6AE54345F828}"/>
            </a:ext>
          </a:extLst>
        </xdr:cNvPr>
        <xdr:cNvSpPr/>
      </xdr:nvSpPr>
      <xdr:spPr>
        <a:xfrm>
          <a:off x="371475" y="323850"/>
          <a:ext cx="4667250" cy="542925"/>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133351</xdr:colOff>
      <xdr:row>4</xdr:row>
      <xdr:rowOff>190499</xdr:rowOff>
    </xdr:from>
    <xdr:to>
      <xdr:col>2</xdr:col>
      <xdr:colOff>323851</xdr:colOff>
      <xdr:row>26</xdr:row>
      <xdr:rowOff>47624</xdr:rowOff>
    </xdr:to>
    <xdr:sp macro="" textlink="">
      <xdr:nvSpPr>
        <xdr:cNvPr id="3" name="Rectangle: Rounded Corners 2">
          <a:extLst>
            <a:ext uri="{FF2B5EF4-FFF2-40B4-BE49-F238E27FC236}">
              <a16:creationId xmlns:a16="http://schemas.microsoft.com/office/drawing/2014/main" id="{20DD3C5D-DAE3-8573-9057-916011EFD8AE}"/>
            </a:ext>
          </a:extLst>
        </xdr:cNvPr>
        <xdr:cNvSpPr/>
      </xdr:nvSpPr>
      <xdr:spPr>
        <a:xfrm>
          <a:off x="381001" y="962024"/>
          <a:ext cx="800100" cy="4048125"/>
        </a:xfrm>
        <a:prstGeom prst="roundRect">
          <a:avLst>
            <a:gd name="adj" fmla="val 6387"/>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400051</xdr:colOff>
      <xdr:row>5</xdr:row>
      <xdr:rowOff>9525</xdr:rowOff>
    </xdr:from>
    <xdr:to>
      <xdr:col>5</xdr:col>
      <xdr:colOff>266700</xdr:colOff>
      <xdr:row>9</xdr:row>
      <xdr:rowOff>171450</xdr:rowOff>
    </xdr:to>
    <xdr:sp macro="" textlink="">
      <xdr:nvSpPr>
        <xdr:cNvPr id="4" name="Rectangle: Rounded Corners 3">
          <a:extLst>
            <a:ext uri="{FF2B5EF4-FFF2-40B4-BE49-F238E27FC236}">
              <a16:creationId xmlns:a16="http://schemas.microsoft.com/office/drawing/2014/main" id="{6604467A-DCCA-4E14-E3CC-13553CDF93F2}"/>
            </a:ext>
          </a:extLst>
        </xdr:cNvPr>
        <xdr:cNvSpPr/>
      </xdr:nvSpPr>
      <xdr:spPr>
        <a:xfrm>
          <a:off x="1257301" y="971550"/>
          <a:ext cx="1695449" cy="923925"/>
        </a:xfrm>
        <a:prstGeom prst="roundRect">
          <a:avLst>
            <a:gd name="adj" fmla="val 8772"/>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342901</xdr:colOff>
      <xdr:row>5</xdr:row>
      <xdr:rowOff>9525</xdr:rowOff>
    </xdr:from>
    <xdr:to>
      <xdr:col>8</xdr:col>
      <xdr:colOff>209550</xdr:colOff>
      <xdr:row>9</xdr:row>
      <xdr:rowOff>171450</xdr:rowOff>
    </xdr:to>
    <xdr:sp macro="" textlink="">
      <xdr:nvSpPr>
        <xdr:cNvPr id="10" name="Rectangle: Rounded Corners 9">
          <a:extLst>
            <a:ext uri="{FF2B5EF4-FFF2-40B4-BE49-F238E27FC236}">
              <a16:creationId xmlns:a16="http://schemas.microsoft.com/office/drawing/2014/main" id="{38E9F11D-6FB6-3BB8-2D6B-54FE5A0C7E23}"/>
            </a:ext>
          </a:extLst>
        </xdr:cNvPr>
        <xdr:cNvSpPr/>
      </xdr:nvSpPr>
      <xdr:spPr>
        <a:xfrm>
          <a:off x="3028951" y="971550"/>
          <a:ext cx="1695449" cy="923925"/>
        </a:xfrm>
        <a:prstGeom prst="roundRect">
          <a:avLst>
            <a:gd name="adj" fmla="val 8772"/>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314326</xdr:colOff>
      <xdr:row>5</xdr:row>
      <xdr:rowOff>9525</xdr:rowOff>
    </xdr:from>
    <xdr:to>
      <xdr:col>11</xdr:col>
      <xdr:colOff>180975</xdr:colOff>
      <xdr:row>9</xdr:row>
      <xdr:rowOff>171450</xdr:rowOff>
    </xdr:to>
    <xdr:sp macro="" textlink="">
      <xdr:nvSpPr>
        <xdr:cNvPr id="11" name="Rectangle: Rounded Corners 10">
          <a:extLst>
            <a:ext uri="{FF2B5EF4-FFF2-40B4-BE49-F238E27FC236}">
              <a16:creationId xmlns:a16="http://schemas.microsoft.com/office/drawing/2014/main" id="{A33E51FA-5E8F-A66F-76D0-CBE9657E1380}"/>
            </a:ext>
          </a:extLst>
        </xdr:cNvPr>
        <xdr:cNvSpPr/>
      </xdr:nvSpPr>
      <xdr:spPr>
        <a:xfrm>
          <a:off x="4829176" y="971550"/>
          <a:ext cx="1695449" cy="923925"/>
        </a:xfrm>
        <a:prstGeom prst="roundRect">
          <a:avLst>
            <a:gd name="adj" fmla="val 9803"/>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9525</xdr:colOff>
      <xdr:row>1</xdr:row>
      <xdr:rowOff>123825</xdr:rowOff>
    </xdr:from>
    <xdr:to>
      <xdr:col>11</xdr:col>
      <xdr:colOff>190500</xdr:colOff>
      <xdr:row>4</xdr:row>
      <xdr:rowOff>95250</xdr:rowOff>
    </xdr:to>
    <xdr:sp macro="" textlink="">
      <xdr:nvSpPr>
        <xdr:cNvPr id="12" name="Rectangle: Rounded Corners 11">
          <a:extLst>
            <a:ext uri="{FF2B5EF4-FFF2-40B4-BE49-F238E27FC236}">
              <a16:creationId xmlns:a16="http://schemas.microsoft.com/office/drawing/2014/main" id="{38B521E8-BA03-0E9B-0529-50FE5DDAB5D6}"/>
            </a:ext>
          </a:extLst>
        </xdr:cNvPr>
        <xdr:cNvSpPr/>
      </xdr:nvSpPr>
      <xdr:spPr>
        <a:xfrm>
          <a:off x="5133975" y="323850"/>
          <a:ext cx="1400175" cy="542925"/>
        </a:xfrm>
        <a:prstGeom prst="roundRect">
          <a:avLst>
            <a:gd name="adj" fmla="val 14849"/>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11</xdr:col>
      <xdr:colOff>314324</xdr:colOff>
      <xdr:row>1</xdr:row>
      <xdr:rowOff>123825</xdr:rowOff>
    </xdr:from>
    <xdr:to>
      <xdr:col>14</xdr:col>
      <xdr:colOff>476249</xdr:colOff>
      <xdr:row>11</xdr:row>
      <xdr:rowOff>28575</xdr:rowOff>
    </xdr:to>
    <xdr:sp macro="" textlink="">
      <xdr:nvSpPr>
        <xdr:cNvPr id="13" name="Rectangle: Rounded Corners 12">
          <a:extLst>
            <a:ext uri="{FF2B5EF4-FFF2-40B4-BE49-F238E27FC236}">
              <a16:creationId xmlns:a16="http://schemas.microsoft.com/office/drawing/2014/main" id="{1609CE9D-E512-5E5F-CCDD-6796647B0C3E}"/>
            </a:ext>
          </a:extLst>
        </xdr:cNvPr>
        <xdr:cNvSpPr/>
      </xdr:nvSpPr>
      <xdr:spPr>
        <a:xfrm>
          <a:off x="6657974" y="323850"/>
          <a:ext cx="1990725" cy="1809750"/>
        </a:xfrm>
        <a:prstGeom prst="roundRect">
          <a:avLst>
            <a:gd name="adj" fmla="val 4658"/>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15</xdr:col>
      <xdr:colOff>9524</xdr:colOff>
      <xdr:row>1</xdr:row>
      <xdr:rowOff>133350</xdr:rowOff>
    </xdr:from>
    <xdr:to>
      <xdr:col>18</xdr:col>
      <xdr:colOff>171449</xdr:colOff>
      <xdr:row>11</xdr:row>
      <xdr:rowOff>38100</xdr:rowOff>
    </xdr:to>
    <xdr:sp macro="" textlink="">
      <xdr:nvSpPr>
        <xdr:cNvPr id="14" name="Rectangle: Rounded Corners 13">
          <a:extLst>
            <a:ext uri="{FF2B5EF4-FFF2-40B4-BE49-F238E27FC236}">
              <a16:creationId xmlns:a16="http://schemas.microsoft.com/office/drawing/2014/main" id="{10BC5796-4D78-9ED5-0EDB-A9DF2F4099C5}"/>
            </a:ext>
          </a:extLst>
        </xdr:cNvPr>
        <xdr:cNvSpPr/>
      </xdr:nvSpPr>
      <xdr:spPr>
        <a:xfrm>
          <a:off x="8791574" y="333375"/>
          <a:ext cx="1990725" cy="1809750"/>
        </a:xfrm>
        <a:prstGeom prst="roundRect">
          <a:avLst>
            <a:gd name="adj" fmla="val 5184"/>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400052</xdr:colOff>
      <xdr:row>14</xdr:row>
      <xdr:rowOff>47625</xdr:rowOff>
    </xdr:from>
    <xdr:to>
      <xdr:col>11</xdr:col>
      <xdr:colOff>180976</xdr:colOff>
      <xdr:row>26</xdr:row>
      <xdr:rowOff>28575</xdr:rowOff>
    </xdr:to>
    <xdr:sp macro="" textlink="">
      <xdr:nvSpPr>
        <xdr:cNvPr id="9" name="Rectangle: Rounded Corners 8">
          <a:extLst>
            <a:ext uri="{FF2B5EF4-FFF2-40B4-BE49-F238E27FC236}">
              <a16:creationId xmlns:a16="http://schemas.microsoft.com/office/drawing/2014/main" id="{A3A96D35-BCAC-CD0F-1A59-698F105E85CE}"/>
            </a:ext>
          </a:extLst>
        </xdr:cNvPr>
        <xdr:cNvSpPr/>
      </xdr:nvSpPr>
      <xdr:spPr>
        <a:xfrm>
          <a:off x="1257302" y="2724150"/>
          <a:ext cx="5267324" cy="2266950"/>
        </a:xfrm>
        <a:prstGeom prst="roundRect">
          <a:avLst>
            <a:gd name="adj" fmla="val 2717"/>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485774</xdr:colOff>
      <xdr:row>1</xdr:row>
      <xdr:rowOff>133351</xdr:rowOff>
    </xdr:from>
    <xdr:to>
      <xdr:col>8</xdr:col>
      <xdr:colOff>228599</xdr:colOff>
      <xdr:row>3</xdr:row>
      <xdr:rowOff>0</xdr:rowOff>
    </xdr:to>
    <xdr:sp macro="" textlink="">
      <xdr:nvSpPr>
        <xdr:cNvPr id="16" name="TextBox 15">
          <a:extLst>
            <a:ext uri="{FF2B5EF4-FFF2-40B4-BE49-F238E27FC236}">
              <a16:creationId xmlns:a16="http://schemas.microsoft.com/office/drawing/2014/main" id="{05A95833-5558-A705-E78F-2840F5FCD4AF}"/>
            </a:ext>
          </a:extLst>
        </xdr:cNvPr>
        <xdr:cNvSpPr txBox="1"/>
      </xdr:nvSpPr>
      <xdr:spPr>
        <a:xfrm>
          <a:off x="1343024" y="333376"/>
          <a:ext cx="3400425"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chemeClr val="bg1"/>
              </a:solidFill>
              <a:latin typeface="+mj-lt"/>
            </a:rPr>
            <a:t>Hospital Emergency Room Dashboard</a:t>
          </a:r>
        </a:p>
      </xdr:txBody>
    </xdr:sp>
    <xdr:clientData/>
  </xdr:twoCellAnchor>
  <xdr:twoCellAnchor editAs="absolute">
    <xdr:from>
      <xdr:col>4</xdr:col>
      <xdr:colOff>180975</xdr:colOff>
      <xdr:row>3</xdr:row>
      <xdr:rowOff>0</xdr:rowOff>
    </xdr:from>
    <xdr:to>
      <xdr:col>7</xdr:col>
      <xdr:colOff>9525</xdr:colOff>
      <xdr:row>4</xdr:row>
      <xdr:rowOff>66675</xdr:rowOff>
    </xdr:to>
    <xdr:sp macro="" textlink="">
      <xdr:nvSpPr>
        <xdr:cNvPr id="25" name="TextBox 24">
          <a:extLst>
            <a:ext uri="{FF2B5EF4-FFF2-40B4-BE49-F238E27FC236}">
              <a16:creationId xmlns:a16="http://schemas.microsoft.com/office/drawing/2014/main" id="{EFB8C4C3-B50A-8EF9-72B7-E264C2E5225B}"/>
            </a:ext>
          </a:extLst>
        </xdr:cNvPr>
        <xdr:cNvSpPr txBox="1"/>
      </xdr:nvSpPr>
      <xdr:spPr>
        <a:xfrm>
          <a:off x="2257425" y="581025"/>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solidFill>
                <a:schemeClr val="bg1"/>
              </a:solidFill>
              <a:latin typeface="+mj-lt"/>
            </a:rPr>
            <a:t>Monthly Report</a:t>
          </a:r>
        </a:p>
      </xdr:txBody>
    </xdr:sp>
    <xdr:clientData/>
  </xdr:twoCellAnchor>
  <xdr:twoCellAnchor editAs="absolute">
    <xdr:from>
      <xdr:col>2</xdr:col>
      <xdr:colOff>409575</xdr:colOff>
      <xdr:row>6</xdr:row>
      <xdr:rowOff>152400</xdr:rowOff>
    </xdr:from>
    <xdr:to>
      <xdr:col>5</xdr:col>
      <xdr:colOff>238125</xdr:colOff>
      <xdr:row>8</xdr:row>
      <xdr:rowOff>28575</xdr:rowOff>
    </xdr:to>
    <xdr:sp macro="" textlink="">
      <xdr:nvSpPr>
        <xdr:cNvPr id="26" name="TextBox 25">
          <a:extLst>
            <a:ext uri="{FF2B5EF4-FFF2-40B4-BE49-F238E27FC236}">
              <a16:creationId xmlns:a16="http://schemas.microsoft.com/office/drawing/2014/main" id="{B8AFAAEB-D9F4-D087-47BD-32542FDA20FF}"/>
            </a:ext>
          </a:extLst>
        </xdr:cNvPr>
        <xdr:cNvSpPr txBox="1"/>
      </xdr:nvSpPr>
      <xdr:spPr>
        <a:xfrm>
          <a:off x="1266825" y="1304925"/>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j-lt"/>
            </a:rPr>
            <a:t>No. of Patient</a:t>
          </a:r>
        </a:p>
      </xdr:txBody>
    </xdr:sp>
    <xdr:clientData/>
  </xdr:twoCellAnchor>
  <xdr:twoCellAnchor editAs="absolute">
    <xdr:from>
      <xdr:col>2</xdr:col>
      <xdr:colOff>409575</xdr:colOff>
      <xdr:row>5</xdr:row>
      <xdr:rowOff>57150</xdr:rowOff>
    </xdr:from>
    <xdr:to>
      <xdr:col>5</xdr:col>
      <xdr:colOff>238125</xdr:colOff>
      <xdr:row>6</xdr:row>
      <xdr:rowOff>123825</xdr:rowOff>
    </xdr:to>
    <xdr:sp macro="" textlink="'Pivot Report'!A3">
      <xdr:nvSpPr>
        <xdr:cNvPr id="27" name="TextBox 26">
          <a:extLst>
            <a:ext uri="{FF2B5EF4-FFF2-40B4-BE49-F238E27FC236}">
              <a16:creationId xmlns:a16="http://schemas.microsoft.com/office/drawing/2014/main" id="{0514A11D-99E4-E7F5-2240-06635912D177}"/>
            </a:ext>
          </a:extLst>
        </xdr:cNvPr>
        <xdr:cNvSpPr txBox="1"/>
      </xdr:nvSpPr>
      <xdr:spPr>
        <a:xfrm>
          <a:off x="1266825" y="1019175"/>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A29CFA6-70B3-4CD2-83C6-1356D3A18C67}" type="TxLink">
            <a:rPr lang="en-US" sz="1600" b="1" i="0" u="none" strike="noStrike">
              <a:solidFill>
                <a:srgbClr val="000000"/>
              </a:solidFill>
              <a:latin typeface="Calibri"/>
              <a:ea typeface="Calibri"/>
              <a:cs typeface="Calibri"/>
            </a:rPr>
            <a:t>948</a:t>
          </a:fld>
          <a:endParaRPr lang="en-IN" sz="2400" b="1">
            <a:latin typeface="+mj-lt"/>
          </a:endParaRPr>
        </a:p>
      </xdr:txBody>
    </xdr:sp>
    <xdr:clientData/>
  </xdr:twoCellAnchor>
  <xdr:twoCellAnchor editAs="absolute">
    <xdr:from>
      <xdr:col>5</xdr:col>
      <xdr:colOff>352425</xdr:colOff>
      <xdr:row>6</xdr:row>
      <xdr:rowOff>161925</xdr:rowOff>
    </xdr:from>
    <xdr:to>
      <xdr:col>8</xdr:col>
      <xdr:colOff>180975</xdr:colOff>
      <xdr:row>8</xdr:row>
      <xdr:rowOff>38100</xdr:rowOff>
    </xdr:to>
    <xdr:sp macro="" textlink="">
      <xdr:nvSpPr>
        <xdr:cNvPr id="28" name="TextBox 27">
          <a:extLst>
            <a:ext uri="{FF2B5EF4-FFF2-40B4-BE49-F238E27FC236}">
              <a16:creationId xmlns:a16="http://schemas.microsoft.com/office/drawing/2014/main" id="{773284BF-CA93-2041-8581-9012752DAAA3}"/>
            </a:ext>
          </a:extLst>
        </xdr:cNvPr>
        <xdr:cNvSpPr txBox="1"/>
      </xdr:nvSpPr>
      <xdr:spPr>
        <a:xfrm>
          <a:off x="3038475" y="1314450"/>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j-lt"/>
            </a:rPr>
            <a:t>Average Wait Time</a:t>
          </a:r>
        </a:p>
      </xdr:txBody>
    </xdr:sp>
    <xdr:clientData/>
  </xdr:twoCellAnchor>
  <xdr:twoCellAnchor editAs="absolute">
    <xdr:from>
      <xdr:col>5</xdr:col>
      <xdr:colOff>352425</xdr:colOff>
      <xdr:row>5</xdr:row>
      <xdr:rowOff>66675</xdr:rowOff>
    </xdr:from>
    <xdr:to>
      <xdr:col>8</xdr:col>
      <xdr:colOff>180975</xdr:colOff>
      <xdr:row>6</xdr:row>
      <xdr:rowOff>133350</xdr:rowOff>
    </xdr:to>
    <xdr:sp macro="" textlink="'Pivot Report'!A7">
      <xdr:nvSpPr>
        <xdr:cNvPr id="29" name="TextBox 28">
          <a:extLst>
            <a:ext uri="{FF2B5EF4-FFF2-40B4-BE49-F238E27FC236}">
              <a16:creationId xmlns:a16="http://schemas.microsoft.com/office/drawing/2014/main" id="{8FDB3A80-CDDE-CD81-609B-B75E7179F68E}"/>
            </a:ext>
          </a:extLst>
        </xdr:cNvPr>
        <xdr:cNvSpPr txBox="1"/>
      </xdr:nvSpPr>
      <xdr:spPr>
        <a:xfrm>
          <a:off x="3038475" y="1028700"/>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A096C8D1-052F-4D0F-A381-38A04103D193}" type="TxLink">
            <a:rPr lang="en-US" sz="1600" b="1" i="0" u="none" strike="noStrike">
              <a:solidFill>
                <a:srgbClr val="000000"/>
              </a:solidFill>
              <a:latin typeface="Calibri"/>
              <a:ea typeface="Calibri"/>
              <a:cs typeface="Calibri"/>
            </a:rPr>
            <a:pPr marL="0" indent="0" algn="ctr"/>
            <a:t>34.97</a:t>
          </a:fld>
          <a:endParaRPr lang="en-IN" sz="1600" b="1" i="0" u="none" strike="noStrike">
            <a:solidFill>
              <a:srgbClr val="000000"/>
            </a:solidFill>
            <a:latin typeface="Calibri"/>
            <a:ea typeface="Calibri"/>
            <a:cs typeface="Calibri"/>
          </a:endParaRPr>
        </a:p>
      </xdr:txBody>
    </xdr:sp>
    <xdr:clientData/>
  </xdr:twoCellAnchor>
  <xdr:twoCellAnchor editAs="absolute">
    <xdr:from>
      <xdr:col>8</xdr:col>
      <xdr:colOff>323850</xdr:colOff>
      <xdr:row>6</xdr:row>
      <xdr:rowOff>171450</xdr:rowOff>
    </xdr:from>
    <xdr:to>
      <xdr:col>11</xdr:col>
      <xdr:colOff>152400</xdr:colOff>
      <xdr:row>8</xdr:row>
      <xdr:rowOff>47625</xdr:rowOff>
    </xdr:to>
    <xdr:sp macro="" textlink="">
      <xdr:nvSpPr>
        <xdr:cNvPr id="30" name="TextBox 29">
          <a:extLst>
            <a:ext uri="{FF2B5EF4-FFF2-40B4-BE49-F238E27FC236}">
              <a16:creationId xmlns:a16="http://schemas.microsoft.com/office/drawing/2014/main" id="{7D5D8646-C852-EE2A-5F5A-5DA76D4B0F81}"/>
            </a:ext>
          </a:extLst>
        </xdr:cNvPr>
        <xdr:cNvSpPr txBox="1"/>
      </xdr:nvSpPr>
      <xdr:spPr>
        <a:xfrm>
          <a:off x="4838700" y="1323975"/>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j-lt"/>
            </a:rPr>
            <a:t>Patient Satisfaction score</a:t>
          </a:r>
        </a:p>
      </xdr:txBody>
    </xdr:sp>
    <xdr:clientData/>
  </xdr:twoCellAnchor>
  <xdr:twoCellAnchor editAs="absolute">
    <xdr:from>
      <xdr:col>8</xdr:col>
      <xdr:colOff>323850</xdr:colOff>
      <xdr:row>5</xdr:row>
      <xdr:rowOff>76200</xdr:rowOff>
    </xdr:from>
    <xdr:to>
      <xdr:col>11</xdr:col>
      <xdr:colOff>152400</xdr:colOff>
      <xdr:row>6</xdr:row>
      <xdr:rowOff>142875</xdr:rowOff>
    </xdr:to>
    <xdr:sp macro="" textlink="'Pivot Report'!A11">
      <xdr:nvSpPr>
        <xdr:cNvPr id="31" name="TextBox 30">
          <a:extLst>
            <a:ext uri="{FF2B5EF4-FFF2-40B4-BE49-F238E27FC236}">
              <a16:creationId xmlns:a16="http://schemas.microsoft.com/office/drawing/2014/main" id="{AAD18EDA-68D4-844A-1DBC-572597820FEE}"/>
            </a:ext>
          </a:extLst>
        </xdr:cNvPr>
        <xdr:cNvSpPr txBox="1"/>
      </xdr:nvSpPr>
      <xdr:spPr>
        <a:xfrm>
          <a:off x="4838700" y="1038225"/>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25FA50D1-3C62-498A-B01E-C6746D65C039}" type="TxLink">
            <a:rPr lang="en-US" sz="1600" b="1" i="0" u="none" strike="noStrike">
              <a:solidFill>
                <a:srgbClr val="000000"/>
              </a:solidFill>
              <a:latin typeface="Calibri"/>
              <a:ea typeface="Calibri"/>
              <a:cs typeface="Calibri"/>
            </a:rPr>
            <a:pPr marL="0" indent="0" algn="ctr"/>
            <a:t>4.99</a:t>
          </a:fld>
          <a:endParaRPr lang="en-IN" sz="1600" b="1" i="0" u="none" strike="noStrike">
            <a:solidFill>
              <a:srgbClr val="000000"/>
            </a:solidFill>
            <a:latin typeface="Calibri"/>
            <a:ea typeface="Calibri"/>
            <a:cs typeface="Calibri"/>
          </a:endParaRPr>
        </a:p>
      </xdr:txBody>
    </xdr:sp>
    <xdr:clientData/>
  </xdr:twoCellAnchor>
  <xdr:twoCellAnchor editAs="oneCell">
    <xdr:from>
      <xdr:col>10</xdr:col>
      <xdr:colOff>361950</xdr:colOff>
      <xdr:row>5</xdr:row>
      <xdr:rowOff>38100</xdr:rowOff>
    </xdr:from>
    <xdr:to>
      <xdr:col>11</xdr:col>
      <xdr:colOff>133349</xdr:colOff>
      <xdr:row>7</xdr:row>
      <xdr:rowOff>38099</xdr:rowOff>
    </xdr:to>
    <xdr:pic>
      <xdr:nvPicPr>
        <xdr:cNvPr id="33" name="Graphic 32" descr="Boardroom with solid fill">
          <a:extLst>
            <a:ext uri="{FF2B5EF4-FFF2-40B4-BE49-F238E27FC236}">
              <a16:creationId xmlns:a16="http://schemas.microsoft.com/office/drawing/2014/main" id="{6FAB1C66-32CB-0BC4-AF49-D2D0DCBC78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00" y="990600"/>
          <a:ext cx="380999" cy="380999"/>
        </a:xfrm>
        <a:prstGeom prst="rect">
          <a:avLst/>
        </a:prstGeom>
      </xdr:spPr>
    </xdr:pic>
    <xdr:clientData/>
  </xdr:twoCellAnchor>
  <xdr:twoCellAnchor editAs="oneCell">
    <xdr:from>
      <xdr:col>7</xdr:col>
      <xdr:colOff>447675</xdr:colOff>
      <xdr:row>5</xdr:row>
      <xdr:rowOff>45225</xdr:rowOff>
    </xdr:from>
    <xdr:to>
      <xdr:col>8</xdr:col>
      <xdr:colOff>171450</xdr:colOff>
      <xdr:row>6</xdr:row>
      <xdr:rowOff>188100</xdr:rowOff>
    </xdr:to>
    <xdr:pic>
      <xdr:nvPicPr>
        <xdr:cNvPr id="35" name="Graphic 34" descr="Hourglass Finished with solid fill">
          <a:extLst>
            <a:ext uri="{FF2B5EF4-FFF2-40B4-BE49-F238E27FC236}">
              <a16:creationId xmlns:a16="http://schemas.microsoft.com/office/drawing/2014/main" id="{CD137E51-A8B9-58F6-0983-E8DE5B82F7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52925" y="997725"/>
          <a:ext cx="333375" cy="333375"/>
        </a:xfrm>
        <a:prstGeom prst="rect">
          <a:avLst/>
        </a:prstGeom>
      </xdr:spPr>
    </xdr:pic>
    <xdr:clientData/>
  </xdr:twoCellAnchor>
  <xdr:twoCellAnchor editAs="oneCell">
    <xdr:from>
      <xdr:col>4</xdr:col>
      <xdr:colOff>504825</xdr:colOff>
      <xdr:row>5</xdr:row>
      <xdr:rowOff>52351</xdr:rowOff>
    </xdr:from>
    <xdr:to>
      <xdr:col>5</xdr:col>
      <xdr:colOff>247651</xdr:colOff>
      <xdr:row>7</xdr:row>
      <xdr:rowOff>23777</xdr:rowOff>
    </xdr:to>
    <xdr:pic>
      <xdr:nvPicPr>
        <xdr:cNvPr id="37" name="Graphic 36" descr="Male profile with solid fill">
          <a:extLst>
            <a:ext uri="{FF2B5EF4-FFF2-40B4-BE49-F238E27FC236}">
              <a16:creationId xmlns:a16="http://schemas.microsoft.com/office/drawing/2014/main" id="{B6DF41A4-E1A3-C652-8849-D13976BB8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81275" y="1004851"/>
          <a:ext cx="352426" cy="352426"/>
        </a:xfrm>
        <a:prstGeom prst="rect">
          <a:avLst/>
        </a:prstGeom>
      </xdr:spPr>
    </xdr:pic>
    <xdr:clientData/>
  </xdr:twoCellAnchor>
  <xdr:twoCellAnchor editAs="oneCell">
    <xdr:from>
      <xdr:col>1</xdr:col>
      <xdr:colOff>152402</xdr:colOff>
      <xdr:row>5</xdr:row>
      <xdr:rowOff>66675</xdr:rowOff>
    </xdr:from>
    <xdr:to>
      <xdr:col>2</xdr:col>
      <xdr:colOff>290324</xdr:colOff>
      <xdr:row>25</xdr:row>
      <xdr:rowOff>188595</xdr:rowOff>
    </xdr:to>
    <mc:AlternateContent xmlns:mc="http://schemas.openxmlformats.org/markup-compatibility/2006">
      <mc:Choice xmlns:a14="http://schemas.microsoft.com/office/drawing/2010/main" Requires="a14">
        <xdr:graphicFrame macro="">
          <xdr:nvGraphicFramePr>
            <xdr:cNvPr id="38" name="Date (Month)">
              <a:extLst>
                <a:ext uri="{FF2B5EF4-FFF2-40B4-BE49-F238E27FC236}">
                  <a16:creationId xmlns:a16="http://schemas.microsoft.com/office/drawing/2014/main" id="{14B3F184-5D7E-4CD9-98FC-FAE37B8592D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00052" y="1028700"/>
              <a:ext cx="747522" cy="3931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419102</xdr:colOff>
      <xdr:row>7</xdr:row>
      <xdr:rowOff>95250</xdr:rowOff>
    </xdr:from>
    <xdr:to>
      <xdr:col>5</xdr:col>
      <xdr:colOff>238125</xdr:colOff>
      <xdr:row>10</xdr:row>
      <xdr:rowOff>9524</xdr:rowOff>
    </xdr:to>
    <xdr:graphicFrame macro="">
      <xdr:nvGraphicFramePr>
        <xdr:cNvPr id="39" name="Chart 38">
          <a:hlinkClick xmlns:r="http://schemas.openxmlformats.org/officeDocument/2006/relationships" r:id="rId7"/>
          <a:extLst>
            <a:ext uri="{FF2B5EF4-FFF2-40B4-BE49-F238E27FC236}">
              <a16:creationId xmlns:a16="http://schemas.microsoft.com/office/drawing/2014/main" id="{D463F297-BD58-4C68-8FC5-DF72062CD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333375</xdr:colOff>
      <xdr:row>7</xdr:row>
      <xdr:rowOff>142875</xdr:rowOff>
    </xdr:from>
    <xdr:to>
      <xdr:col>8</xdr:col>
      <xdr:colOff>190500</xdr:colOff>
      <xdr:row>9</xdr:row>
      <xdr:rowOff>161925</xdr:rowOff>
    </xdr:to>
    <xdr:graphicFrame macro="">
      <xdr:nvGraphicFramePr>
        <xdr:cNvPr id="40" name="Chart 39">
          <a:hlinkClick xmlns:r="http://schemas.openxmlformats.org/officeDocument/2006/relationships" r:id="rId9"/>
          <a:extLst>
            <a:ext uri="{FF2B5EF4-FFF2-40B4-BE49-F238E27FC236}">
              <a16:creationId xmlns:a16="http://schemas.microsoft.com/office/drawing/2014/main" id="{4AE25511-8AA8-4D12-9241-4560E7C13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342901</xdr:colOff>
      <xdr:row>7</xdr:row>
      <xdr:rowOff>161925</xdr:rowOff>
    </xdr:from>
    <xdr:to>
      <xdr:col>11</xdr:col>
      <xdr:colOff>114301</xdr:colOff>
      <xdr:row>9</xdr:row>
      <xdr:rowOff>142875</xdr:rowOff>
    </xdr:to>
    <xdr:graphicFrame macro="">
      <xdr:nvGraphicFramePr>
        <xdr:cNvPr id="41" name="Chart 40">
          <a:hlinkClick xmlns:r="http://schemas.openxmlformats.org/officeDocument/2006/relationships" r:id="rId11"/>
          <a:extLst>
            <a:ext uri="{FF2B5EF4-FFF2-40B4-BE49-F238E27FC236}">
              <a16:creationId xmlns:a16="http://schemas.microsoft.com/office/drawing/2014/main" id="{206BAF64-7AB1-40CB-A0B6-579ED2E9D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absolute">
        <xdr:from>
          <xdr:col>2</xdr:col>
          <xdr:colOff>419099</xdr:colOff>
          <xdr:row>10</xdr:row>
          <xdr:rowOff>66675</xdr:rowOff>
        </xdr:from>
        <xdr:to>
          <xdr:col>11</xdr:col>
          <xdr:colOff>200025</xdr:colOff>
          <xdr:row>13</xdr:row>
          <xdr:rowOff>142875</xdr:rowOff>
        </xdr:to>
        <xdr:pic>
          <xdr:nvPicPr>
            <xdr:cNvPr id="43" name="Picture 42">
              <a:extLst>
                <a:ext uri="{FF2B5EF4-FFF2-40B4-BE49-F238E27FC236}">
                  <a16:creationId xmlns:a16="http://schemas.microsoft.com/office/drawing/2014/main" id="{CC03D195-6FDF-2F1E-7CFE-C592C646245A}"/>
                </a:ext>
              </a:extLst>
            </xdr:cNvPr>
            <xdr:cNvPicPr>
              <a:picLocks noChangeAspect="1" noChangeArrowheads="1"/>
              <a:extLst>
                <a:ext uri="{84589F7E-364E-4C9E-8A38-B11213B215E9}">
                  <a14:cameraTool cellRange="'Pivot Report'!$A$41:$D$43" spid="_x0000_s1151"/>
                </a:ext>
              </a:extLst>
            </xdr:cNvPicPr>
          </xdr:nvPicPr>
          <xdr:blipFill>
            <a:blip xmlns:r="http://schemas.openxmlformats.org/officeDocument/2006/relationships" r:embed="rId13">
              <a:lum bright="20000" contrast="40000"/>
            </a:blip>
            <a:srcRect/>
            <a:stretch>
              <a:fillRect/>
            </a:stretch>
          </xdr:blipFill>
          <xdr:spPr bwMode="auto">
            <a:xfrm>
              <a:off x="1276349" y="1971675"/>
              <a:ext cx="5267326" cy="647700"/>
            </a:xfrm>
            <a:prstGeom prst="roundRect">
              <a:avLst>
                <a:gd name="adj" fmla="val 8594"/>
              </a:avLst>
            </a:prstGeom>
            <a:solidFill>
              <a:schemeClr val="bg1"/>
            </a:solidFill>
            <a:ln>
              <a:noFill/>
            </a:ln>
            <a:effectLst/>
          </xdr:spPr>
        </xdr:pic>
        <xdr:clientData/>
      </xdr:twoCellAnchor>
    </mc:Choice>
    <mc:Fallback/>
  </mc:AlternateContent>
  <xdr:twoCellAnchor>
    <xdr:from>
      <xdr:col>2</xdr:col>
      <xdr:colOff>476249</xdr:colOff>
      <xdr:row>14</xdr:row>
      <xdr:rowOff>85724</xdr:rowOff>
    </xdr:from>
    <xdr:to>
      <xdr:col>11</xdr:col>
      <xdr:colOff>123825</xdr:colOff>
      <xdr:row>25</xdr:row>
      <xdr:rowOff>171449</xdr:rowOff>
    </xdr:to>
    <xdr:graphicFrame macro="">
      <xdr:nvGraphicFramePr>
        <xdr:cNvPr id="44" name="Chart 43">
          <a:extLst>
            <a:ext uri="{FF2B5EF4-FFF2-40B4-BE49-F238E27FC236}">
              <a16:creationId xmlns:a16="http://schemas.microsoft.com/office/drawing/2014/main" id="{7ADD6AE4-A499-407C-BD80-FCA000993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361950</xdr:colOff>
      <xdr:row>1</xdr:row>
      <xdr:rowOff>152401</xdr:rowOff>
    </xdr:from>
    <xdr:to>
      <xdr:col>14</xdr:col>
      <xdr:colOff>409575</xdr:colOff>
      <xdr:row>11</xdr:row>
      <xdr:rowOff>0</xdr:rowOff>
    </xdr:to>
    <xdr:graphicFrame macro="">
      <xdr:nvGraphicFramePr>
        <xdr:cNvPr id="45" name="Chart 44">
          <a:extLst>
            <a:ext uri="{FF2B5EF4-FFF2-40B4-BE49-F238E27FC236}">
              <a16:creationId xmlns:a16="http://schemas.microsoft.com/office/drawing/2014/main" id="{AFE1F7E5-CADF-4F9A-841F-3C0630E12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11</xdr:col>
      <xdr:colOff>485775</xdr:colOff>
      <xdr:row>9</xdr:row>
      <xdr:rowOff>104775</xdr:rowOff>
    </xdr:from>
    <xdr:to>
      <xdr:col>14</xdr:col>
      <xdr:colOff>314325</xdr:colOff>
      <xdr:row>10</xdr:row>
      <xdr:rowOff>171450</xdr:rowOff>
    </xdr:to>
    <xdr:sp macro="" textlink="">
      <xdr:nvSpPr>
        <xdr:cNvPr id="46" name="TextBox 45">
          <a:extLst>
            <a:ext uri="{FF2B5EF4-FFF2-40B4-BE49-F238E27FC236}">
              <a16:creationId xmlns:a16="http://schemas.microsoft.com/office/drawing/2014/main" id="{8B79DC19-513A-26C4-288A-1A30369A0057}"/>
            </a:ext>
          </a:extLst>
        </xdr:cNvPr>
        <xdr:cNvSpPr txBox="1"/>
      </xdr:nvSpPr>
      <xdr:spPr>
        <a:xfrm>
          <a:off x="6829425" y="1828800"/>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j-lt"/>
            </a:rPr>
            <a:t>Patient Attend</a:t>
          </a:r>
          <a:r>
            <a:rPr lang="en-IN" sz="1200" b="1" baseline="0">
              <a:latin typeface="+mj-lt"/>
            </a:rPr>
            <a:t> Status</a:t>
          </a:r>
          <a:endParaRPr lang="en-IN" sz="1200" b="1">
            <a:latin typeface="+mj-lt"/>
          </a:endParaRPr>
        </a:p>
      </xdr:txBody>
    </xdr:sp>
    <xdr:clientData/>
  </xdr:twoCellAnchor>
  <xdr:twoCellAnchor>
    <xdr:from>
      <xdr:col>15</xdr:col>
      <xdr:colOff>9524</xdr:colOff>
      <xdr:row>1</xdr:row>
      <xdr:rowOff>142875</xdr:rowOff>
    </xdr:from>
    <xdr:to>
      <xdr:col>18</xdr:col>
      <xdr:colOff>152400</xdr:colOff>
      <xdr:row>10</xdr:row>
      <xdr:rowOff>161925</xdr:rowOff>
    </xdr:to>
    <xdr:graphicFrame macro="">
      <xdr:nvGraphicFramePr>
        <xdr:cNvPr id="47" name="Chart 46">
          <a:extLst>
            <a:ext uri="{FF2B5EF4-FFF2-40B4-BE49-F238E27FC236}">
              <a16:creationId xmlns:a16="http://schemas.microsoft.com/office/drawing/2014/main" id="{B8FF1FD8-FAFA-4D17-91FF-08E840341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15</xdr:col>
      <xdr:colOff>209550</xdr:colOff>
      <xdr:row>9</xdr:row>
      <xdr:rowOff>123825</xdr:rowOff>
    </xdr:from>
    <xdr:to>
      <xdr:col>18</xdr:col>
      <xdr:colOff>38100</xdr:colOff>
      <xdr:row>11</xdr:row>
      <xdr:rowOff>0</xdr:rowOff>
    </xdr:to>
    <xdr:sp macro="" textlink="">
      <xdr:nvSpPr>
        <xdr:cNvPr id="48" name="TextBox 47">
          <a:extLst>
            <a:ext uri="{FF2B5EF4-FFF2-40B4-BE49-F238E27FC236}">
              <a16:creationId xmlns:a16="http://schemas.microsoft.com/office/drawing/2014/main" id="{2BA98B04-6E82-4555-A01B-093CF060498C}"/>
            </a:ext>
          </a:extLst>
        </xdr:cNvPr>
        <xdr:cNvSpPr txBox="1"/>
      </xdr:nvSpPr>
      <xdr:spPr>
        <a:xfrm>
          <a:off x="8991600" y="1847850"/>
          <a:ext cx="1657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j-lt"/>
            </a:rPr>
            <a:t>Gender wise Analysis</a:t>
          </a:r>
        </a:p>
      </xdr:txBody>
    </xdr:sp>
    <xdr:clientData/>
  </xdr:twoCellAnchor>
  <xdr:twoCellAnchor>
    <xdr:from>
      <xdr:col>11</xdr:col>
      <xdr:colOff>295277</xdr:colOff>
      <xdr:row>11</xdr:row>
      <xdr:rowOff>152399</xdr:rowOff>
    </xdr:from>
    <xdr:to>
      <xdr:col>18</xdr:col>
      <xdr:colOff>133351</xdr:colOff>
      <xdr:row>23</xdr:row>
      <xdr:rowOff>38100</xdr:rowOff>
    </xdr:to>
    <xdr:grpSp>
      <xdr:nvGrpSpPr>
        <xdr:cNvPr id="52" name="Group 51">
          <a:extLst>
            <a:ext uri="{FF2B5EF4-FFF2-40B4-BE49-F238E27FC236}">
              <a16:creationId xmlns:a16="http://schemas.microsoft.com/office/drawing/2014/main" id="{D01624C5-D0DA-20F0-F6AA-0DC704749ADE}"/>
            </a:ext>
          </a:extLst>
        </xdr:cNvPr>
        <xdr:cNvGrpSpPr/>
      </xdr:nvGrpSpPr>
      <xdr:grpSpPr>
        <a:xfrm>
          <a:off x="6638927" y="2257424"/>
          <a:ext cx="4105274" cy="2171701"/>
          <a:chOff x="6638927" y="2247899"/>
          <a:chExt cx="4105274" cy="2752726"/>
        </a:xfrm>
      </xdr:grpSpPr>
      <xdr:sp macro="" textlink="">
        <xdr:nvSpPr>
          <xdr:cNvPr id="15" name="Rectangle: Rounded Corners 14">
            <a:extLst>
              <a:ext uri="{FF2B5EF4-FFF2-40B4-BE49-F238E27FC236}">
                <a16:creationId xmlns:a16="http://schemas.microsoft.com/office/drawing/2014/main" id="{7310C40E-D712-A2C6-26E1-5F6A0B3B77BD}"/>
              </a:ext>
            </a:extLst>
          </xdr:cNvPr>
          <xdr:cNvSpPr/>
        </xdr:nvSpPr>
        <xdr:spPr>
          <a:xfrm>
            <a:off x="6638927" y="2247899"/>
            <a:ext cx="4105274" cy="2752726"/>
          </a:xfrm>
          <a:prstGeom prst="roundRect">
            <a:avLst>
              <a:gd name="adj" fmla="val 3503"/>
            </a:avLst>
          </a:prstGeom>
          <a:solidFill>
            <a:schemeClr val="bg1"/>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49" name="Chart 48">
            <a:extLst>
              <a:ext uri="{FF2B5EF4-FFF2-40B4-BE49-F238E27FC236}">
                <a16:creationId xmlns:a16="http://schemas.microsoft.com/office/drawing/2014/main" id="{4EF63EC2-EC06-47BA-A7CC-AD64FC07278D}"/>
              </a:ext>
            </a:extLst>
          </xdr:cNvPr>
          <xdr:cNvGraphicFramePr>
            <a:graphicFrameLocks/>
          </xdr:cNvGraphicFramePr>
        </xdr:nvGraphicFramePr>
        <xdr:xfrm>
          <a:off x="6705602" y="2285999"/>
          <a:ext cx="3962398" cy="2657476"/>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50" name="TextBox 49">
            <a:extLst>
              <a:ext uri="{FF2B5EF4-FFF2-40B4-BE49-F238E27FC236}">
                <a16:creationId xmlns:a16="http://schemas.microsoft.com/office/drawing/2014/main" id="{314BC80E-6641-404F-B191-F75C54FA184E}"/>
              </a:ext>
            </a:extLst>
          </xdr:cNvPr>
          <xdr:cNvSpPr txBox="1"/>
        </xdr:nvSpPr>
        <xdr:spPr>
          <a:xfrm>
            <a:off x="7191374" y="4695825"/>
            <a:ext cx="25336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j-lt"/>
              </a:rPr>
              <a:t>No. of Patient by Department Referal</a:t>
            </a:r>
          </a:p>
        </xdr:txBody>
      </xdr:sp>
    </xdr:grpSp>
    <xdr:clientData/>
  </xdr:twoCellAnchor>
  <xdr:twoCellAnchor editAs="oneCell">
    <xdr:from>
      <xdr:col>9</xdr:col>
      <xdr:colOff>28575</xdr:colOff>
      <xdr:row>1</xdr:row>
      <xdr:rowOff>161925</xdr:rowOff>
    </xdr:from>
    <xdr:to>
      <xdr:col>11</xdr:col>
      <xdr:colOff>142875</xdr:colOff>
      <xdr:row>4</xdr:row>
      <xdr:rowOff>57150</xdr:rowOff>
    </xdr:to>
    <mc:AlternateContent xmlns:mc="http://schemas.openxmlformats.org/markup-compatibility/2006">
      <mc:Choice xmlns:a14="http://schemas.microsoft.com/office/drawing/2010/main" Requires="a14">
        <xdr:graphicFrame macro="">
          <xdr:nvGraphicFramePr>
            <xdr:cNvPr id="51" name="Date (Year)">
              <a:extLst>
                <a:ext uri="{FF2B5EF4-FFF2-40B4-BE49-F238E27FC236}">
                  <a16:creationId xmlns:a16="http://schemas.microsoft.com/office/drawing/2014/main" id="{2B27D063-B4EB-46FF-B2A5-59E3232EE6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153025" y="361950"/>
              <a:ext cx="1333500" cy="466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295276</xdr:colOff>
      <xdr:row>23</xdr:row>
      <xdr:rowOff>85726</xdr:rowOff>
    </xdr:from>
    <xdr:to>
      <xdr:col>18</xdr:col>
      <xdr:colOff>133349</xdr:colOff>
      <xdr:row>26</xdr:row>
      <xdr:rowOff>28575</xdr:rowOff>
    </xdr:to>
    <xdr:sp macro="" textlink="">
      <xdr:nvSpPr>
        <xdr:cNvPr id="53" name="Rectangle: Rounded Corners 52">
          <a:extLst>
            <a:ext uri="{FF2B5EF4-FFF2-40B4-BE49-F238E27FC236}">
              <a16:creationId xmlns:a16="http://schemas.microsoft.com/office/drawing/2014/main" id="{18ACEBAB-D7B8-B68C-2215-EE2050D5109A}"/>
            </a:ext>
          </a:extLst>
        </xdr:cNvPr>
        <xdr:cNvSpPr/>
      </xdr:nvSpPr>
      <xdr:spPr>
        <a:xfrm>
          <a:off x="6638926" y="4476751"/>
          <a:ext cx="4105273" cy="514349"/>
        </a:xfrm>
        <a:prstGeom prst="roundRect">
          <a:avLst>
            <a:gd name="adj" fmla="val 50000"/>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solidFill>
                <a:srgbClr val="FF0000"/>
              </a:solidFill>
              <a:latin typeface="Arial Narrow" panose="020B0606020202030204" pitchFamily="34" charset="0"/>
            </a:rPr>
            <a:t>Dashboard Created</a:t>
          </a:r>
          <a:r>
            <a:rPr lang="en-IN" sz="1400" b="1" baseline="0">
              <a:solidFill>
                <a:srgbClr val="FF0000"/>
              </a:solidFill>
              <a:latin typeface="Arial Narrow" panose="020B0606020202030204" pitchFamily="34" charset="0"/>
            </a:rPr>
            <a:t> By:- Shivam Singh</a:t>
          </a:r>
          <a:endParaRPr lang="en-IN" sz="1400" b="1">
            <a:solidFill>
              <a:srgbClr val="FF0000"/>
            </a:solidFill>
            <a:latin typeface="Arial Narrow" panose="020B0606020202030204" pitchFamily="34" charset="0"/>
          </a:endParaRPr>
        </a:p>
      </xdr:txBody>
    </xdr:sp>
    <xdr:clientData/>
  </xdr:twoCellAnchor>
  <xdr:twoCellAnchor editAs="oneCell">
    <xdr:from>
      <xdr:col>1</xdr:col>
      <xdr:colOff>171450</xdr:colOff>
      <xdr:row>1</xdr:row>
      <xdr:rowOff>171452</xdr:rowOff>
    </xdr:from>
    <xdr:to>
      <xdr:col>2</xdr:col>
      <xdr:colOff>314325</xdr:colOff>
      <xdr:row>4</xdr:row>
      <xdr:rowOff>79565</xdr:rowOff>
    </xdr:to>
    <xdr:pic>
      <xdr:nvPicPr>
        <xdr:cNvPr id="55" name="Picture 54">
          <a:extLst>
            <a:ext uri="{FF2B5EF4-FFF2-40B4-BE49-F238E27FC236}">
              <a16:creationId xmlns:a16="http://schemas.microsoft.com/office/drawing/2014/main" id="{2EC2A615-2BDD-E685-3809-856824BCC00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19100" y="361952"/>
          <a:ext cx="752475" cy="479613"/>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0.34149</cdr:x>
      <cdr:y>0.85298</cdr:y>
    </cdr:from>
    <cdr:to>
      <cdr:x>0.7081</cdr:x>
      <cdr:y>0.97089</cdr:y>
    </cdr:to>
    <cdr:sp macro="" textlink="">
      <cdr:nvSpPr>
        <cdr:cNvPr id="2" name="TextBox 25">
          <a:extLst xmlns:a="http://schemas.openxmlformats.org/drawingml/2006/main">
            <a:ext uri="{FF2B5EF4-FFF2-40B4-BE49-F238E27FC236}">
              <a16:creationId xmlns:a16="http://schemas.microsoft.com/office/drawing/2014/main" id="{B8AFAAEB-D9F4-D087-47BD-32542FDA20FF}"/>
            </a:ext>
          </a:extLst>
        </cdr:cNvPr>
        <cdr:cNvSpPr txBox="1"/>
      </cdr:nvSpPr>
      <cdr:spPr>
        <a:xfrm xmlns:a="http://schemas.openxmlformats.org/drawingml/2006/main">
          <a:off x="1727200" y="1860550"/>
          <a:ext cx="1854201" cy="257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200" b="1">
              <a:latin typeface="+mj-lt"/>
            </a:rPr>
            <a:t>No. of Patient by</a:t>
          </a:r>
          <a:r>
            <a:rPr lang="en-IN" sz="1200" b="1" baseline="0">
              <a:latin typeface="+mj-lt"/>
            </a:rPr>
            <a:t> Age group</a:t>
          </a:r>
          <a:endParaRPr lang="en-IN" sz="1200" b="1">
            <a:latin typeface="+mj-lt"/>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104776</xdr:colOff>
      <xdr:row>27</xdr:row>
      <xdr:rowOff>66675</xdr:rowOff>
    </xdr:to>
    <xdr:graphicFrame macro="">
      <xdr:nvGraphicFramePr>
        <xdr:cNvPr id="3" name="Chart 2">
          <a:extLst>
            <a:ext uri="{FF2B5EF4-FFF2-40B4-BE49-F238E27FC236}">
              <a16:creationId xmlns:a16="http://schemas.microsoft.com/office/drawing/2014/main" id="{AD0F87D7-67AB-4102-ABFB-35035EFB8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0.0426</cdr:x>
      <cdr:y>0.10436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E64EA1A-6DCD-D63F-168F-465D9FEE91F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23875" cy="52387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0</xdr:colOff>
      <xdr:row>0</xdr:row>
      <xdr:rowOff>190499</xdr:rowOff>
    </xdr:from>
    <xdr:to>
      <xdr:col>16</xdr:col>
      <xdr:colOff>219075</xdr:colOff>
      <xdr:row>21</xdr:row>
      <xdr:rowOff>133350</xdr:rowOff>
    </xdr:to>
    <xdr:graphicFrame macro="">
      <xdr:nvGraphicFramePr>
        <xdr:cNvPr id="2" name="Chart 1">
          <a:extLst>
            <a:ext uri="{FF2B5EF4-FFF2-40B4-BE49-F238E27FC236}">
              <a16:creationId xmlns:a16="http://schemas.microsoft.com/office/drawing/2014/main" id="{D6BCFCF2-98F2-469F-8DAB-571C27FDF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0.00203</cdr:x>
      <cdr:y>0.00805</cdr:y>
    </cdr:from>
    <cdr:to>
      <cdr:x>0.05799</cdr:x>
      <cdr:y>0.1409</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0F78581-C57C-6F4A-96CF-E4D24F17BB9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050" y="31750"/>
          <a:ext cx="523875" cy="523875"/>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1</xdr:col>
      <xdr:colOff>19050</xdr:colOff>
      <xdr:row>1</xdr:row>
      <xdr:rowOff>0</xdr:rowOff>
    </xdr:from>
    <xdr:to>
      <xdr:col>16</xdr:col>
      <xdr:colOff>590550</xdr:colOff>
      <xdr:row>21</xdr:row>
      <xdr:rowOff>47625</xdr:rowOff>
    </xdr:to>
    <xdr:graphicFrame macro="">
      <xdr:nvGraphicFramePr>
        <xdr:cNvPr id="4" name="Chart 3">
          <a:extLst>
            <a:ext uri="{FF2B5EF4-FFF2-40B4-BE49-F238E27FC236}">
              <a16:creationId xmlns:a16="http://schemas.microsoft.com/office/drawing/2014/main" id="{7B6D9DF9-DBCE-433D-9BFF-98E20D5CB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47625</xdr:colOff>
      <xdr:row>1</xdr:row>
      <xdr:rowOff>28575</xdr:rowOff>
    </xdr:from>
    <xdr:to>
      <xdr:col>1</xdr:col>
      <xdr:colOff>571500</xdr:colOff>
      <xdr:row>3</xdr:row>
      <xdr:rowOff>171450</xdr:rowOff>
    </xdr:to>
    <xdr:pic>
      <xdr:nvPicPr>
        <xdr:cNvPr id="5" name="Graphic 1" descr="Home with solid fill">
          <a:hlinkClick xmlns:r="http://schemas.openxmlformats.org/officeDocument/2006/relationships" r:id="rId2"/>
          <a:extLst>
            <a:ext uri="{FF2B5EF4-FFF2-40B4-BE49-F238E27FC236}">
              <a16:creationId xmlns:a16="http://schemas.microsoft.com/office/drawing/2014/main" id="{03FCAAB1-F7FF-F3F4-73D2-5C9DD25330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7225" y="219075"/>
          <a:ext cx="523875" cy="5238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46412038" createdVersion="5" refreshedVersion="8" minRefreshableVersion="3" recordCount="0" supportSubquery="1" supportAdvancedDrill="1" xr:uid="{D1DFEDAB-82E9-4449-9028-5F1096A37BAF}">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46990738" createdVersion="5" refreshedVersion="8" minRefreshableVersion="3" recordCount="0" supportSubquery="1" supportAdvancedDrill="1" xr:uid="{1CCAA10B-9DA0-4DCE-B726-48CA50C2FDD2}">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47337961" createdVersion="5" refreshedVersion="8" minRefreshableVersion="3" recordCount="0" supportSubquery="1" supportAdvancedDrill="1" xr:uid="{549AAE90-4774-4A00-B83E-AE2C9183AEE6}">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48032408" createdVersion="5" refreshedVersion="8" minRefreshableVersion="3" recordCount="0" supportSubquery="1" supportAdvancedDrill="1" xr:uid="{E7CC2CDB-7FDF-439E-9EBD-B08F234FEAF3}">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49074078" createdVersion="5" refreshedVersion="8" minRefreshableVersion="3" recordCount="0" supportSubquery="1" supportAdvancedDrill="1" xr:uid="{AA14B1D8-2402-43A5-9C48-EDB4B9FA71D1}">
  <cacheSource type="external" connectionId="3"/>
  <cacheFields count="3">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50347225" createdVersion="5" refreshedVersion="8" minRefreshableVersion="3" recordCount="0" supportSubquery="1" supportAdvancedDrill="1" xr:uid="{65CE3063-C0A9-4A3A-B8B8-65DED03244B5}">
  <cacheSource type="external" connectionId="3"/>
  <cacheFields count="3">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5115741" createdVersion="5" refreshedVersion="8" minRefreshableVersion="3" recordCount="0" supportSubquery="1" supportAdvancedDrill="1" xr:uid="{E9E99425-C1D9-4629-A743-75DEE1EC0260}">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52199072" createdVersion="5" refreshedVersion="8" minRefreshableVersion="3" recordCount="0" supportSubquery="1" supportAdvancedDrill="1" xr:uid="{9AE85AE8-068F-43BA-ACAB-84953CD69A71}">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52893519" createdVersion="5" refreshedVersion="8" minRefreshableVersion="3" recordCount="0" supportSubquery="1" supportAdvancedDrill="1" xr:uid="{5F4E4022-0C0C-4E69-914A-8297C544A32A}">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53587965" createdVersion="5" refreshedVersion="8" minRefreshableVersion="3" recordCount="0" supportSubquery="1" supportAdvancedDrill="1" xr:uid="{EC7D32B9-0FA3-4C57-A37D-072FA1990799}">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54513889" createdVersion="5" refreshedVersion="8" minRefreshableVersion="3" recordCount="0" supportSubquery="1" supportAdvancedDrill="1" xr:uid="{C187B496-9FB8-479C-9C0B-7836B8EFF736}">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95255555559" createdVersion="5" refreshedVersion="8" minRefreshableVersion="3" recordCount="0" supportSubquery="1" supportAdvancedDrill="1" xr:uid="{599F5C94-7AE1-494E-AF84-6C7D493B49B6}">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59160416665" createdVersion="3" refreshedVersion="8" minRefreshableVersion="3" recordCount="0" supportSubquery="1" supportAdvancedDrill="1" xr:uid="{9DCF404E-5E2E-41AC-AFF8-704871ABB13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32827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359822685183" createdVersion="3" refreshedVersion="8" minRefreshableVersion="3" recordCount="0" supportSubquery="1" supportAdvancedDrill="1" xr:uid="{78A69A22-3066-4C30-AF08-1D6E8FD182D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31127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C58ECE-0CA0-4A51-B6C3-24522D95C71B}" name="PivotTable13" cacheId="3604" applyNumberFormats="0" applyBorderFormats="0" applyFontFormats="0" applyPatternFormats="0" applyAlignmentFormats="0" applyWidthHeightFormats="1" dataCaption="Values" tag="e7db3253-5ee3-49b9-a8d5-cbd870cc1e9f" updatedVersion="8" minRefreshableVersion="3" subtotalHiddenItems="1" itemPrintTitles="1" createdVersion="5" indent="0" outline="1" outlineData="1" multipleFieldFilters="0" chartFormat="21">
  <location ref="F49:F5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2">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80C45E-BFDF-4150-81BB-2969A77C23F9}" name="PivotTable12" cacheId="3601" applyNumberFormats="0" applyBorderFormats="0" applyFontFormats="0" applyPatternFormats="0" applyAlignmentFormats="0" applyWidthHeightFormats="1" dataCaption="Values" tag="e7db3253-5ee3-49b9-a8d5-cbd870cc1e9f" updatedVersion="8" minRefreshableVersion="3" subtotalHiddenItems="1" itemPrintTitles="1" createdVersion="5" indent="0" outline="1" outlineData="1" multipleFieldFilters="0" chartFormat="42">
  <location ref="I48:J5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3">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9ACDC-9DA1-45BA-8295-4A377D050B38}" name="PivotTable11" cacheId="3598" applyNumberFormats="0" applyBorderFormats="0" applyFontFormats="0" applyPatternFormats="0" applyAlignmentFormats="0" applyWidthHeightFormats="1" dataCaption="Values" tag="e7db3253-5ee3-49b9-a8d5-cbd870cc1e9f" updatedVersion="8" minRefreshableVersion="3" subtotalHiddenItems="1" itemPrintTitles="1" createdVersion="5" indent="0" outline="1" outlineData="1" multipleFieldFilters="0" chartFormat="27">
  <location ref="I42:J4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4">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B8864E-C186-492A-93B5-909C5A242B7A}" name="PivotTable10" cacheId="3595" applyNumberFormats="0" applyBorderFormats="0" applyFontFormats="0" applyPatternFormats="0" applyAlignmentFormats="0" applyWidthHeightFormats="1" dataCaption="Values" tag="e7db3253-5ee3-49b9-a8d5-cbd870cc1e9f" updatedVersion="8" minRefreshableVersion="3" subtotalHiddenItems="1" itemPrintTitles="1" createdVersion="5" indent="0" outline="1" outlineData="1" multipleFieldFilters="0" chartFormat="21">
  <location ref="I35:J3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1">
    <format dxfId="5">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F642B0-58AD-4837-AE47-4F661FB2A250}" name="PivotTable9" cacheId="3592" applyNumberFormats="0" applyBorderFormats="0" applyFontFormats="0" applyPatternFormats="0" applyAlignmentFormats="0" applyWidthHeightFormats="1" dataCaption="Values" tag="e7db3253-5ee3-49b9-a8d5-cbd870cc1e9f" updatedVersion="8" minRefreshableVersion="3" subtotalHiddenItems="1" itemPrintTitles="1" createdVersion="5" indent="0" outline="1" outlineData="1" multipleFieldFilters="0" chartFormat="18">
  <location ref="F35:G4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527148-A101-4F64-B04E-8C9C810BB683}" name="PivotTable8" cacheId="3589" applyNumberFormats="0" applyBorderFormats="0" applyFontFormats="0" applyPatternFormats="0" applyAlignmentFormats="0" applyWidthHeightFormats="1" dataCaption="Values" tag="e7db3253-5ee3-49b9-a8d5-cbd870cc1e9f" updatedVersion="8" minRefreshableVersion="3" subtotalHiddenItems="1" itemPrintTitles="1" createdVersion="5" indent="0" outline="1" outlineData="1" multipleFieldFilters="0" chartFormat="2">
  <location ref="A35:C38"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7">
      <pivotArea outline="0" collapsedLevelsAreSubtotals="1" fieldPosition="0"/>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9F7D48-C10C-46DE-93C7-B321B43DF483}" name="PivotTable7" cacheId="3586" applyNumberFormats="0" applyBorderFormats="0" applyFontFormats="0" applyPatternFormats="0" applyAlignmentFormats="0" applyWidthHeightFormats="1" dataCaption="Values" tag="6faa0150-b0c1-4114-b061-922bc4356f74" updatedVersion="8" minRefreshableVersion="3" subtotalHiddenItems="1" itemPrintTitles="1" createdVersion="5" indent="0" outline="1" outlineData="1" multipleFieldFilters="0" chartFormat="37">
  <location ref="K2:L33"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9">
      <pivotArea collapsedLevelsAreSubtotals="1" fieldPosition="0">
        <references count="1">
          <reference field="0" count="0"/>
        </references>
      </pivotArea>
    </format>
  </formats>
  <chartFormats count="2">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557BA6-EB3B-44C7-ADB9-FF695871BEED}" name="PivotTable6" cacheId="3583" applyNumberFormats="0" applyBorderFormats="0" applyFontFormats="0" applyPatternFormats="0" applyAlignmentFormats="0" applyWidthHeightFormats="1" dataCaption="Values" tag="6faa0150-b0c1-4114-b061-922bc4356f74" updatedVersion="8" minRefreshableVersion="3" subtotalHiddenItems="1" itemPrintTitles="1" createdVersion="5" indent="0" outline="1" outlineData="1" multipleFieldFilters="0" chartFormat="31">
  <location ref="H2:I33"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1" subtotal="average" baseField="0" baseItem="0"/>
  </dataFields>
  <formats count="1">
    <format dxfId="10">
      <pivotArea collapsedLevelsAreSubtotals="1" fieldPosition="0">
        <references count="1">
          <reference field="0" count="0"/>
        </references>
      </pivotArea>
    </format>
  </formats>
  <chartFormats count="2">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4755D1-36CB-43AC-B758-C247DBDD1D1A}" name="PivotTable5" cacheId="3571" applyNumberFormats="0" applyBorderFormats="0" applyFontFormats="0" applyPatternFormats="0" applyAlignmentFormats="0" applyWidthHeightFormats="1" dataCaption="Values" tag="6faa0150-b0c1-4114-b061-922bc4356f74" updatedVersion="8" minRefreshableVersion="3" subtotalHiddenItems="1" itemPrintTitles="1" createdVersion="5" indent="0" outline="1" outlineData="1" multipleFieldFilters="0" chartFormat="21">
  <location ref="E2:F33"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8D74E9-F6A2-483C-B89E-FB9BA8F74307}" name="PivotTable1" cacheId="3574" applyNumberFormats="0" applyBorderFormats="0" applyFontFormats="0" applyPatternFormats="0" applyAlignmentFormats="0" applyWidthHeightFormats="1" dataCaption="Values" tag="6faa0150-b0c1-4114-b061-922bc4356f74" updatedVersion="8" minRefreshableVersion="3" subtotalHiddenItems="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39AECA-5ADE-43C0-B638-3E78F30DE0B7}" name="PivotTable3" cacheId="3577" applyNumberFormats="0" applyBorderFormats="0" applyFontFormats="0" applyPatternFormats="0" applyAlignmentFormats="0" applyWidthHeightFormats="1" dataCaption="Values" tag="0ab9fc01-8fae-40b9-a692-9a033276d4e2" updatedVersion="8" minRefreshableVersion="3"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CB1297-56E8-4D2F-991D-394179B2F420}" name="PivotTable4" cacheId="3580" applyNumberFormats="0" applyBorderFormats="0" applyFontFormats="0" applyPatternFormats="0" applyAlignmentFormats="0" applyWidthHeightFormats="1" dataCaption="Values" tag="e7db3253-5ee3-49b9-a8d5-cbd870cc1e9f"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6558F62-4B7E-4113-AF8A-FFAF4EF71422}" sourceName="[Calendar_Table].[Date (Month)]">
  <pivotTables>
    <pivotTable tabId="1" name="PivotTable5"/>
    <pivotTable tabId="1" name="PivotTable1"/>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232827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9B0F3E0-F262-4E1E-9563-D30669043A4D}" sourceName="[Calendar_Table].[Date (Year)]">
  <pivotTables>
    <pivotTable tabId="1" name="PivotTable13"/>
    <pivotTable tabId="1" name="PivotTable1"/>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olap pivotCacheId="15311272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1FBD104-6F57-4BD0-B18A-A6CDBB5F5197}" cache="Slicer_Date__Month" caption="Date (Month)" showCaption="0" level="1" style="My style" rowHeight="283464"/>
  <slicer name="Date (Year)" xr10:uid="{DBA37898-54CF-4E05-8A1E-691155278F76}" cache="Slicer_Date__Year" caption="Date (Year)" columnCount="2" showCaption="0" level="1" style="My style" rowHeight="29260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94E0A-309B-4FFD-9684-E569D5A31AE3}">
  <dimension ref="A1:L57"/>
  <sheetViews>
    <sheetView topLeftCell="A32" workbookViewId="0">
      <selection activeCell="E48" sqref="E48"/>
    </sheetView>
  </sheetViews>
  <sheetFormatPr defaultRowHeight="15" x14ac:dyDescent="0.25"/>
  <cols>
    <col min="1" max="1" width="19.140625" customWidth="1"/>
    <col min="2" max="2" width="15.42578125" customWidth="1"/>
    <col min="3" max="3" width="11.85546875" customWidth="1"/>
    <col min="4" max="4" width="17.7109375" customWidth="1"/>
    <col min="5" max="5" width="13.140625" bestFit="1" customWidth="1"/>
    <col min="6" max="6" width="24.140625" customWidth="1"/>
    <col min="9" max="9" width="26.85546875" bestFit="1" customWidth="1"/>
  </cols>
  <sheetData>
    <row r="1" spans="1:12" x14ac:dyDescent="0.25">
      <c r="A1" t="s">
        <v>1</v>
      </c>
    </row>
    <row r="2" spans="1:12" x14ac:dyDescent="0.25">
      <c r="A2" t="s">
        <v>0</v>
      </c>
      <c r="E2" s="3" t="s">
        <v>7</v>
      </c>
      <c r="F2" t="s">
        <v>0</v>
      </c>
      <c r="H2" s="3" t="s">
        <v>7</v>
      </c>
      <c r="I2" t="s">
        <v>2</v>
      </c>
      <c r="K2" s="3" t="s">
        <v>7</v>
      </c>
      <c r="L2" t="s">
        <v>3</v>
      </c>
    </row>
    <row r="3" spans="1:12" x14ac:dyDescent="0.25">
      <c r="A3" s="4">
        <v>948</v>
      </c>
      <c r="E3" s="5" t="s">
        <v>8</v>
      </c>
      <c r="F3" s="4">
        <v>31</v>
      </c>
      <c r="H3" s="5" t="s">
        <v>8</v>
      </c>
      <c r="I3" s="1">
        <v>37.12903225806452</v>
      </c>
      <c r="K3" s="5" t="s">
        <v>8</v>
      </c>
      <c r="L3" s="1">
        <v>3.8</v>
      </c>
    </row>
    <row r="4" spans="1:12" x14ac:dyDescent="0.25">
      <c r="E4" s="5" t="s">
        <v>9</v>
      </c>
      <c r="F4" s="4">
        <v>32</v>
      </c>
      <c r="H4" s="5" t="s">
        <v>9</v>
      </c>
      <c r="I4" s="1">
        <v>35.34375</v>
      </c>
      <c r="K4" s="5" t="s">
        <v>9</v>
      </c>
      <c r="L4" s="1">
        <v>6</v>
      </c>
    </row>
    <row r="5" spans="1:12" x14ac:dyDescent="0.25">
      <c r="E5" s="5" t="s">
        <v>10</v>
      </c>
      <c r="F5" s="4">
        <v>31</v>
      </c>
      <c r="H5" s="5" t="s">
        <v>10</v>
      </c>
      <c r="I5" s="1">
        <v>33.064516129032256</v>
      </c>
      <c r="K5" s="5" t="s">
        <v>10</v>
      </c>
      <c r="L5" s="1">
        <v>4.5999999999999996</v>
      </c>
    </row>
    <row r="6" spans="1:12" x14ac:dyDescent="0.25">
      <c r="A6" t="s">
        <v>2</v>
      </c>
      <c r="E6" s="5" t="s">
        <v>11</v>
      </c>
      <c r="F6" s="4">
        <v>29</v>
      </c>
      <c r="H6" s="5" t="s">
        <v>11</v>
      </c>
      <c r="I6" s="1">
        <v>33.482758620689658</v>
      </c>
      <c r="K6" s="5" t="s">
        <v>11</v>
      </c>
      <c r="L6" s="1">
        <v>5.7142857142857144</v>
      </c>
    </row>
    <row r="7" spans="1:12" x14ac:dyDescent="0.25">
      <c r="A7" s="1">
        <v>34.972573839662445</v>
      </c>
      <c r="E7" s="5" t="s">
        <v>12</v>
      </c>
      <c r="F7" s="4">
        <v>34</v>
      </c>
      <c r="H7" s="5" t="s">
        <v>12</v>
      </c>
      <c r="I7" s="1">
        <v>34</v>
      </c>
      <c r="K7" s="5" t="s">
        <v>12</v>
      </c>
      <c r="L7" s="1">
        <v>4.666666666666667</v>
      </c>
    </row>
    <row r="8" spans="1:12" x14ac:dyDescent="0.25">
      <c r="E8" s="5" t="s">
        <v>13</v>
      </c>
      <c r="F8" s="4">
        <v>31</v>
      </c>
      <c r="H8" s="5" t="s">
        <v>13</v>
      </c>
      <c r="I8" s="1">
        <v>34.354838709677416</v>
      </c>
      <c r="K8" s="5" t="s">
        <v>13</v>
      </c>
      <c r="L8" s="1">
        <v>3.4</v>
      </c>
    </row>
    <row r="9" spans="1:12" x14ac:dyDescent="0.25">
      <c r="E9" s="5" t="s">
        <v>14</v>
      </c>
      <c r="F9" s="4">
        <v>27</v>
      </c>
      <c r="H9" s="5" t="s">
        <v>14</v>
      </c>
      <c r="I9" s="1">
        <v>32.666666666666664</v>
      </c>
      <c r="K9" s="5" t="s">
        <v>14</v>
      </c>
      <c r="L9" s="1">
        <v>5</v>
      </c>
    </row>
    <row r="10" spans="1:12" x14ac:dyDescent="0.25">
      <c r="A10" t="s">
        <v>3</v>
      </c>
      <c r="E10" s="5" t="s">
        <v>15</v>
      </c>
      <c r="F10" s="4">
        <v>32</v>
      </c>
      <c r="H10" s="5" t="s">
        <v>15</v>
      </c>
      <c r="I10" s="1">
        <v>30.3125</v>
      </c>
      <c r="K10" s="5" t="s">
        <v>15</v>
      </c>
      <c r="L10" s="1">
        <v>5.8571428571428568</v>
      </c>
    </row>
    <row r="11" spans="1:12" x14ac:dyDescent="0.25">
      <c r="A11" s="1">
        <v>4.9889298892988929</v>
      </c>
      <c r="E11" s="5" t="s">
        <v>16</v>
      </c>
      <c r="F11" s="4">
        <v>27</v>
      </c>
      <c r="H11" s="5" t="s">
        <v>16</v>
      </c>
      <c r="I11" s="1">
        <v>33.925925925925924</v>
      </c>
      <c r="K11" s="5" t="s">
        <v>16</v>
      </c>
      <c r="L11" s="1">
        <v>4.8888888888888893</v>
      </c>
    </row>
    <row r="12" spans="1:12" x14ac:dyDescent="0.25">
      <c r="E12" s="5" t="s">
        <v>17</v>
      </c>
      <c r="F12" s="4">
        <v>27</v>
      </c>
      <c r="H12" s="5" t="s">
        <v>17</v>
      </c>
      <c r="I12" s="1">
        <v>32.037037037037038</v>
      </c>
      <c r="K12" s="5" t="s">
        <v>17</v>
      </c>
      <c r="L12" s="1">
        <v>6</v>
      </c>
    </row>
    <row r="13" spans="1:12" x14ac:dyDescent="0.25">
      <c r="E13" s="5" t="s">
        <v>18</v>
      </c>
      <c r="F13" s="4">
        <v>33</v>
      </c>
      <c r="H13" s="5" t="s">
        <v>18</v>
      </c>
      <c r="I13" s="1">
        <v>38.606060606060609</v>
      </c>
      <c r="K13" s="5" t="s">
        <v>18</v>
      </c>
      <c r="L13" s="1">
        <v>4.7142857142857144</v>
      </c>
    </row>
    <row r="14" spans="1:12" x14ac:dyDescent="0.25">
      <c r="E14" s="5" t="s">
        <v>19</v>
      </c>
      <c r="F14" s="4">
        <v>42</v>
      </c>
      <c r="H14" s="5" t="s">
        <v>19</v>
      </c>
      <c r="I14" s="1">
        <v>36.761904761904759</v>
      </c>
      <c r="K14" s="5" t="s">
        <v>19</v>
      </c>
      <c r="L14" s="1">
        <v>7.1428571428571432</v>
      </c>
    </row>
    <row r="15" spans="1:12" x14ac:dyDescent="0.25">
      <c r="E15" s="5" t="s">
        <v>20</v>
      </c>
      <c r="F15" s="4">
        <v>25</v>
      </c>
      <c r="H15" s="5" t="s">
        <v>20</v>
      </c>
      <c r="I15" s="1">
        <v>28.52</v>
      </c>
      <c r="K15" s="5" t="s">
        <v>20</v>
      </c>
      <c r="L15" s="1">
        <v>4.333333333333333</v>
      </c>
    </row>
    <row r="16" spans="1:12" x14ac:dyDescent="0.25">
      <c r="E16" s="5" t="s">
        <v>21</v>
      </c>
      <c r="F16" s="4">
        <v>34</v>
      </c>
      <c r="H16" s="5" t="s">
        <v>21</v>
      </c>
      <c r="I16" s="1">
        <v>33.882352941176471</v>
      </c>
      <c r="K16" s="5" t="s">
        <v>21</v>
      </c>
      <c r="L16" s="1">
        <v>6.7333333333333334</v>
      </c>
    </row>
    <row r="17" spans="4:12" x14ac:dyDescent="0.25">
      <c r="D17" s="6"/>
      <c r="E17" s="5" t="s">
        <v>22</v>
      </c>
      <c r="F17" s="4">
        <v>32</v>
      </c>
      <c r="H17" s="5" t="s">
        <v>22</v>
      </c>
      <c r="I17" s="1">
        <v>39.625</v>
      </c>
      <c r="K17" s="5" t="s">
        <v>22</v>
      </c>
      <c r="L17" s="1">
        <v>5.2857142857142856</v>
      </c>
    </row>
    <row r="18" spans="4:12" x14ac:dyDescent="0.25">
      <c r="D18" s="6"/>
      <c r="E18" s="5" t="s">
        <v>23</v>
      </c>
      <c r="F18" s="4">
        <v>34</v>
      </c>
      <c r="H18" s="5" t="s">
        <v>23</v>
      </c>
      <c r="I18" s="1">
        <v>31.823529411764707</v>
      </c>
      <c r="K18" s="5" t="s">
        <v>23</v>
      </c>
      <c r="L18" s="1">
        <v>4.916666666666667</v>
      </c>
    </row>
    <row r="19" spans="4:12" x14ac:dyDescent="0.25">
      <c r="D19" s="6"/>
      <c r="E19" s="5" t="s">
        <v>24</v>
      </c>
      <c r="F19" s="4">
        <v>26</v>
      </c>
      <c r="H19" s="5" t="s">
        <v>24</v>
      </c>
      <c r="I19" s="1">
        <v>37.769230769230766</v>
      </c>
      <c r="K19" s="5" t="s">
        <v>24</v>
      </c>
      <c r="L19" s="1">
        <v>4.333333333333333</v>
      </c>
    </row>
    <row r="20" spans="4:12" x14ac:dyDescent="0.25">
      <c r="E20" s="5" t="s">
        <v>25</v>
      </c>
      <c r="F20" s="4">
        <v>36</v>
      </c>
      <c r="H20" s="5" t="s">
        <v>25</v>
      </c>
      <c r="I20" s="1">
        <v>38.055555555555557</v>
      </c>
      <c r="K20" s="5" t="s">
        <v>25</v>
      </c>
      <c r="L20" s="1">
        <v>5.333333333333333</v>
      </c>
    </row>
    <row r="21" spans="4:12" x14ac:dyDescent="0.25">
      <c r="E21" s="5" t="s">
        <v>26</v>
      </c>
      <c r="F21" s="4">
        <v>31</v>
      </c>
      <c r="H21" s="5" t="s">
        <v>26</v>
      </c>
      <c r="I21" s="1">
        <v>30.129032258064516</v>
      </c>
      <c r="K21" s="5" t="s">
        <v>26</v>
      </c>
      <c r="L21" s="1">
        <v>4.3636363636363633</v>
      </c>
    </row>
    <row r="22" spans="4:12" x14ac:dyDescent="0.25">
      <c r="E22" s="5" t="s">
        <v>27</v>
      </c>
      <c r="F22" s="4">
        <v>32</v>
      </c>
      <c r="H22" s="5" t="s">
        <v>27</v>
      </c>
      <c r="I22" s="1">
        <v>35.03125</v>
      </c>
      <c r="K22" s="5" t="s">
        <v>27</v>
      </c>
      <c r="L22" s="1">
        <v>2.9090909090909092</v>
      </c>
    </row>
    <row r="23" spans="4:12" x14ac:dyDescent="0.25">
      <c r="E23" s="5" t="s">
        <v>28</v>
      </c>
      <c r="F23" s="4">
        <v>33</v>
      </c>
      <c r="H23" s="5" t="s">
        <v>28</v>
      </c>
      <c r="I23" s="1">
        <v>35.303030303030305</v>
      </c>
      <c r="K23" s="5" t="s">
        <v>28</v>
      </c>
      <c r="L23" s="1">
        <v>4.5</v>
      </c>
    </row>
    <row r="24" spans="4:12" x14ac:dyDescent="0.25">
      <c r="E24" s="5" t="s">
        <v>29</v>
      </c>
      <c r="F24" s="4">
        <v>39</v>
      </c>
      <c r="H24" s="5" t="s">
        <v>29</v>
      </c>
      <c r="I24" s="1">
        <v>35.717948717948715</v>
      </c>
      <c r="K24" s="5" t="s">
        <v>29</v>
      </c>
      <c r="L24" s="1">
        <v>6.1</v>
      </c>
    </row>
    <row r="25" spans="4:12" x14ac:dyDescent="0.25">
      <c r="E25" s="5" t="s">
        <v>30</v>
      </c>
      <c r="F25" s="4">
        <v>27</v>
      </c>
      <c r="H25" s="5" t="s">
        <v>30</v>
      </c>
      <c r="I25" s="1">
        <v>41.407407407407405</v>
      </c>
      <c r="K25" s="5" t="s">
        <v>30</v>
      </c>
      <c r="L25" s="1">
        <v>6.666666666666667</v>
      </c>
    </row>
    <row r="26" spans="4:12" x14ac:dyDescent="0.25">
      <c r="E26" s="5" t="s">
        <v>31</v>
      </c>
      <c r="F26" s="4">
        <v>32</v>
      </c>
      <c r="H26" s="5" t="s">
        <v>31</v>
      </c>
      <c r="I26" s="1">
        <v>37.28125</v>
      </c>
      <c r="K26" s="5" t="s">
        <v>31</v>
      </c>
      <c r="L26" s="1">
        <v>5</v>
      </c>
    </row>
    <row r="27" spans="4:12" x14ac:dyDescent="0.25">
      <c r="E27" s="5" t="s">
        <v>32</v>
      </c>
      <c r="F27" s="4">
        <v>33</v>
      </c>
      <c r="H27" s="5" t="s">
        <v>32</v>
      </c>
      <c r="I27" s="1">
        <v>38.575757575757578</v>
      </c>
      <c r="K27" s="5" t="s">
        <v>32</v>
      </c>
      <c r="L27" s="1">
        <v>2.5555555555555554</v>
      </c>
    </row>
    <row r="28" spans="4:12" x14ac:dyDescent="0.25">
      <c r="E28" s="5" t="s">
        <v>33</v>
      </c>
      <c r="F28" s="4">
        <v>34</v>
      </c>
      <c r="H28" s="5" t="s">
        <v>33</v>
      </c>
      <c r="I28" s="1">
        <v>33.411764705882355</v>
      </c>
      <c r="K28" s="5" t="s">
        <v>33</v>
      </c>
      <c r="L28" s="1">
        <v>5.5714285714285712</v>
      </c>
    </row>
    <row r="29" spans="4:12" x14ac:dyDescent="0.25">
      <c r="E29" s="5" t="s">
        <v>34</v>
      </c>
      <c r="F29" s="4">
        <v>35</v>
      </c>
      <c r="H29" s="5" t="s">
        <v>34</v>
      </c>
      <c r="I29" s="1">
        <v>36.6</v>
      </c>
      <c r="K29" s="5" t="s">
        <v>34</v>
      </c>
      <c r="L29" s="1">
        <v>4.8461538461538458</v>
      </c>
    </row>
    <row r="30" spans="4:12" x14ac:dyDescent="0.25">
      <c r="E30" s="5" t="s">
        <v>35</v>
      </c>
      <c r="F30" s="4">
        <v>32</v>
      </c>
      <c r="H30" s="5" t="s">
        <v>35</v>
      </c>
      <c r="I30" s="1">
        <v>31.875</v>
      </c>
      <c r="K30" s="5" t="s">
        <v>35</v>
      </c>
      <c r="L30" s="1">
        <v>4.8888888888888893</v>
      </c>
    </row>
    <row r="31" spans="4:12" x14ac:dyDescent="0.25">
      <c r="E31" s="5" t="s">
        <v>36</v>
      </c>
      <c r="F31" s="4">
        <v>27</v>
      </c>
      <c r="H31" s="5" t="s">
        <v>36</v>
      </c>
      <c r="I31" s="1">
        <v>36.925925925925924</v>
      </c>
      <c r="K31" s="5" t="s">
        <v>36</v>
      </c>
      <c r="L31" s="1">
        <v>4.8</v>
      </c>
    </row>
    <row r="32" spans="4:12" x14ac:dyDescent="0.25">
      <c r="E32" s="5" t="s">
        <v>37</v>
      </c>
      <c r="F32" s="4">
        <v>30</v>
      </c>
      <c r="H32" s="5" t="s">
        <v>37</v>
      </c>
      <c r="I32" s="1">
        <v>33.533333333333331</v>
      </c>
      <c r="K32" s="5" t="s">
        <v>37</v>
      </c>
      <c r="L32" s="1">
        <v>5.375</v>
      </c>
    </row>
    <row r="33" spans="1:12" x14ac:dyDescent="0.25">
      <c r="E33" s="5" t="s">
        <v>4</v>
      </c>
      <c r="F33" s="4">
        <v>948</v>
      </c>
      <c r="H33" s="5" t="s">
        <v>4</v>
      </c>
      <c r="I33" s="4">
        <v>34.972573839662445</v>
      </c>
      <c r="K33" s="5" t="s">
        <v>4</v>
      </c>
      <c r="L33" s="4">
        <v>4.9889298892988929</v>
      </c>
    </row>
    <row r="35" spans="1:12" x14ac:dyDescent="0.25">
      <c r="A35" s="3" t="s">
        <v>7</v>
      </c>
      <c r="B35" t="s">
        <v>40</v>
      </c>
      <c r="C35" t="s">
        <v>41</v>
      </c>
      <c r="F35" s="3" t="s">
        <v>7</v>
      </c>
      <c r="G35" t="s">
        <v>53</v>
      </c>
      <c r="I35" s="3" t="s">
        <v>7</v>
      </c>
      <c r="J35" t="s">
        <v>56</v>
      </c>
    </row>
    <row r="36" spans="1:12" x14ac:dyDescent="0.25">
      <c r="A36" s="5" t="s">
        <v>38</v>
      </c>
      <c r="B36" s="1">
        <v>454</v>
      </c>
      <c r="C36" s="6">
        <v>0.47890295358649787</v>
      </c>
      <c r="F36" s="5" t="s">
        <v>45</v>
      </c>
      <c r="G36" s="11">
        <v>129</v>
      </c>
      <c r="I36" s="5" t="s">
        <v>55</v>
      </c>
      <c r="J36" s="11">
        <v>541</v>
      </c>
    </row>
    <row r="37" spans="1:12" x14ac:dyDescent="0.25">
      <c r="A37" s="5" t="s">
        <v>39</v>
      </c>
      <c r="B37" s="1">
        <v>494</v>
      </c>
      <c r="C37" s="6">
        <v>0.52109704641350207</v>
      </c>
      <c r="F37" s="5" t="s">
        <v>46</v>
      </c>
      <c r="G37" s="11">
        <v>124</v>
      </c>
      <c r="I37" s="5" t="s">
        <v>54</v>
      </c>
      <c r="J37" s="11">
        <v>407</v>
      </c>
    </row>
    <row r="38" spans="1:12" x14ac:dyDescent="0.25">
      <c r="A38" s="5" t="s">
        <v>4</v>
      </c>
      <c r="B38" s="1">
        <v>948</v>
      </c>
      <c r="C38" s="6">
        <v>1</v>
      </c>
      <c r="F38" s="5" t="s">
        <v>47</v>
      </c>
      <c r="G38" s="11">
        <v>133</v>
      </c>
      <c r="I38" s="5" t="s">
        <v>4</v>
      </c>
      <c r="J38" s="11">
        <v>948</v>
      </c>
    </row>
    <row r="39" spans="1:12" x14ac:dyDescent="0.25">
      <c r="F39" s="5" t="s">
        <v>48</v>
      </c>
      <c r="G39" s="11">
        <v>122</v>
      </c>
    </row>
    <row r="40" spans="1:12" x14ac:dyDescent="0.25">
      <c r="F40" s="5" t="s">
        <v>49</v>
      </c>
      <c r="G40" s="11">
        <v>96</v>
      </c>
    </row>
    <row r="41" spans="1:12" x14ac:dyDescent="0.25">
      <c r="A41" s="8" t="s">
        <v>42</v>
      </c>
      <c r="B41" s="8" t="s">
        <v>43</v>
      </c>
      <c r="C41" s="8" t="s">
        <v>44</v>
      </c>
      <c r="D41" s="7"/>
      <c r="F41" s="5" t="s">
        <v>50</v>
      </c>
      <c r="G41" s="11">
        <v>110</v>
      </c>
    </row>
    <row r="42" spans="1:12" x14ac:dyDescent="0.25">
      <c r="A42" s="9" t="str">
        <f>A37</f>
        <v>Not Admitted</v>
      </c>
      <c r="B42" s="9">
        <f>B37</f>
        <v>494</v>
      </c>
      <c r="C42" s="10">
        <f>C37</f>
        <v>0.52109704641350207</v>
      </c>
      <c r="F42" s="5" t="s">
        <v>51</v>
      </c>
      <c r="G42" s="11">
        <v>125</v>
      </c>
      <c r="I42" s="3" t="s">
        <v>7</v>
      </c>
      <c r="J42" t="s">
        <v>59</v>
      </c>
    </row>
    <row r="43" spans="1:12" x14ac:dyDescent="0.25">
      <c r="A43" s="9" t="str">
        <f>A36</f>
        <v>Admitted</v>
      </c>
      <c r="B43" s="9">
        <f>B36</f>
        <v>454</v>
      </c>
      <c r="C43" s="10">
        <f>C36</f>
        <v>0.47890295358649787</v>
      </c>
      <c r="F43" s="5" t="s">
        <v>52</v>
      </c>
      <c r="G43" s="11">
        <v>109</v>
      </c>
      <c r="I43" s="5" t="s">
        <v>57</v>
      </c>
      <c r="J43" s="11">
        <v>476</v>
      </c>
    </row>
    <row r="44" spans="1:12" x14ac:dyDescent="0.25">
      <c r="F44" s="5" t="s">
        <v>4</v>
      </c>
      <c r="G44" s="11">
        <v>948</v>
      </c>
      <c r="I44" s="5" t="s">
        <v>58</v>
      </c>
      <c r="J44" s="11">
        <v>472</v>
      </c>
    </row>
    <row r="45" spans="1:12" x14ac:dyDescent="0.25">
      <c r="I45" s="5" t="s">
        <v>4</v>
      </c>
      <c r="J45" s="11">
        <v>948</v>
      </c>
    </row>
    <row r="48" spans="1:12" x14ac:dyDescent="0.25">
      <c r="I48" s="3" t="s">
        <v>7</v>
      </c>
      <c r="J48" t="s">
        <v>68</v>
      </c>
    </row>
    <row r="49" spans="6:10" x14ac:dyDescent="0.25">
      <c r="F49" s="3" t="s">
        <v>7</v>
      </c>
      <c r="I49" s="5" t="s">
        <v>67</v>
      </c>
      <c r="J49" s="11">
        <v>7</v>
      </c>
    </row>
    <row r="50" spans="6:10" x14ac:dyDescent="0.25">
      <c r="F50" s="5" t="s">
        <v>5</v>
      </c>
      <c r="I50" s="5" t="s">
        <v>61</v>
      </c>
      <c r="J50" s="11">
        <v>20</v>
      </c>
    </row>
    <row r="51" spans="6:10" x14ac:dyDescent="0.25">
      <c r="F51" s="5" t="s">
        <v>6</v>
      </c>
      <c r="I51" s="5" t="s">
        <v>63</v>
      </c>
      <c r="J51" s="11">
        <v>21</v>
      </c>
    </row>
    <row r="52" spans="6:10" x14ac:dyDescent="0.25">
      <c r="F52" s="5" t="s">
        <v>4</v>
      </c>
      <c r="I52" s="5" t="s">
        <v>66</v>
      </c>
      <c r="J52" s="11">
        <v>26</v>
      </c>
    </row>
    <row r="53" spans="6:10" x14ac:dyDescent="0.25">
      <c r="I53" s="5" t="s">
        <v>60</v>
      </c>
      <c r="J53" s="11">
        <v>31</v>
      </c>
    </row>
    <row r="54" spans="6:10" x14ac:dyDescent="0.25">
      <c r="I54" s="5" t="s">
        <v>65</v>
      </c>
      <c r="J54" s="11">
        <v>89</v>
      </c>
    </row>
    <row r="55" spans="6:10" x14ac:dyDescent="0.25">
      <c r="I55" s="5" t="s">
        <v>62</v>
      </c>
      <c r="J55" s="11">
        <v>207</v>
      </c>
    </row>
    <row r="56" spans="6:10" x14ac:dyDescent="0.25">
      <c r="I56" s="5" t="s">
        <v>64</v>
      </c>
      <c r="J56" s="11">
        <v>547</v>
      </c>
    </row>
    <row r="57" spans="6:10" x14ac:dyDescent="0.25">
      <c r="I57" s="5" t="s">
        <v>4</v>
      </c>
      <c r="J57" s="11">
        <v>948</v>
      </c>
    </row>
  </sheetData>
  <dataConsolidate/>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DFB0-CD74-46CF-BC7F-B56135E3F64D}">
  <dimension ref="A1:V27"/>
  <sheetViews>
    <sheetView tabSelected="1" workbookViewId="0">
      <selection sqref="A1:XFD1"/>
    </sheetView>
  </sheetViews>
  <sheetFormatPr defaultRowHeight="15" x14ac:dyDescent="0.25"/>
  <cols>
    <col min="1" max="1" width="3.7109375" style="2" customWidth="1"/>
    <col min="19" max="19" width="4.42578125" customWidth="1"/>
  </cols>
  <sheetData>
    <row r="1" spans="2:19" s="2" customFormat="1" ht="15.75" thickBot="1" x14ac:dyDescent="0.3"/>
    <row r="2" spans="2:19" x14ac:dyDescent="0.25">
      <c r="B2" s="15"/>
      <c r="C2" s="16"/>
      <c r="D2" s="16"/>
      <c r="E2" s="16"/>
      <c r="F2" s="16"/>
      <c r="G2" s="16"/>
      <c r="H2" s="16"/>
      <c r="I2" s="16"/>
      <c r="J2" s="16"/>
      <c r="K2" s="16"/>
      <c r="L2" s="16"/>
      <c r="M2" s="16"/>
      <c r="N2" s="16"/>
      <c r="O2" s="16"/>
      <c r="P2" s="16"/>
      <c r="Q2" s="16"/>
      <c r="R2" s="16"/>
      <c r="S2" s="17"/>
    </row>
    <row r="3" spans="2:19" x14ac:dyDescent="0.25">
      <c r="B3" s="18"/>
      <c r="C3" s="12"/>
      <c r="D3" s="12"/>
      <c r="E3" s="12"/>
      <c r="F3" s="12"/>
      <c r="G3" s="12"/>
      <c r="H3" s="12"/>
      <c r="I3" s="12"/>
      <c r="J3" s="12"/>
      <c r="K3" s="12"/>
      <c r="L3" s="12"/>
      <c r="M3" s="12"/>
      <c r="N3" s="12"/>
      <c r="O3" s="12"/>
      <c r="P3" s="12"/>
      <c r="Q3" s="12"/>
      <c r="R3" s="12"/>
      <c r="S3" s="19"/>
    </row>
    <row r="4" spans="2:19" x14ac:dyDescent="0.25">
      <c r="B4" s="18"/>
      <c r="C4" s="12"/>
      <c r="D4" s="12"/>
      <c r="E4" s="12"/>
      <c r="F4" s="12"/>
      <c r="G4" s="12"/>
      <c r="H4" s="12"/>
      <c r="I4" s="12"/>
      <c r="J4" s="12"/>
      <c r="K4" s="12"/>
      <c r="L4" s="12"/>
      <c r="M4" s="12"/>
      <c r="N4" s="12"/>
      <c r="O4" s="12"/>
      <c r="P4" s="12"/>
      <c r="Q4" s="12"/>
      <c r="R4" s="12"/>
      <c r="S4" s="19"/>
    </row>
    <row r="5" spans="2:19" x14ac:dyDescent="0.25">
      <c r="B5" s="18"/>
      <c r="C5" s="12"/>
      <c r="D5" s="12"/>
      <c r="E5" s="12"/>
      <c r="F5" s="12"/>
      <c r="G5" s="12"/>
      <c r="H5" s="12"/>
      <c r="I5" s="12"/>
      <c r="J5" s="12"/>
      <c r="K5" s="12"/>
      <c r="L5" s="12"/>
      <c r="M5" s="12"/>
      <c r="N5" s="12"/>
      <c r="O5" s="12"/>
      <c r="P5" s="12"/>
      <c r="Q5" s="12"/>
      <c r="R5" s="12"/>
      <c r="S5" s="19"/>
    </row>
    <row r="6" spans="2:19" x14ac:dyDescent="0.25">
      <c r="B6" s="18"/>
      <c r="C6" s="12"/>
      <c r="D6" s="12"/>
      <c r="E6" s="12"/>
      <c r="F6" s="12"/>
      <c r="G6" s="12"/>
      <c r="H6" s="12"/>
      <c r="I6" s="12"/>
      <c r="J6" s="12"/>
      <c r="K6" s="12"/>
      <c r="L6" s="12"/>
      <c r="M6" s="12"/>
      <c r="N6" s="12"/>
      <c r="O6" s="12"/>
      <c r="P6" s="12"/>
      <c r="Q6" s="12"/>
      <c r="R6" s="12"/>
      <c r="S6" s="19"/>
    </row>
    <row r="7" spans="2:19" x14ac:dyDescent="0.25">
      <c r="B7" s="18"/>
      <c r="C7" s="12"/>
      <c r="D7" s="12"/>
      <c r="E7" s="12"/>
      <c r="F7" s="12"/>
      <c r="G7" s="12"/>
      <c r="H7" s="12"/>
      <c r="I7" s="12"/>
      <c r="J7" s="12"/>
      <c r="K7" s="12"/>
      <c r="L7" s="12"/>
      <c r="M7" s="12"/>
      <c r="N7" s="12"/>
      <c r="O7" s="12"/>
      <c r="P7" s="12"/>
      <c r="Q7" s="12"/>
      <c r="R7" s="12"/>
      <c r="S7" s="19"/>
    </row>
    <row r="8" spans="2:19" x14ac:dyDescent="0.25">
      <c r="B8" s="18"/>
      <c r="C8" s="12"/>
      <c r="D8" s="12"/>
      <c r="E8" s="12"/>
      <c r="F8" s="12"/>
      <c r="G8" s="12"/>
      <c r="H8" s="12"/>
      <c r="I8" s="12"/>
      <c r="J8" s="12"/>
      <c r="K8" s="12"/>
      <c r="L8" s="12"/>
      <c r="M8" s="12"/>
      <c r="N8" s="12"/>
      <c r="O8" s="12"/>
      <c r="P8" s="12"/>
      <c r="Q8" s="12"/>
      <c r="R8" s="12"/>
      <c r="S8" s="19"/>
    </row>
    <row r="9" spans="2:19" x14ac:dyDescent="0.25">
      <c r="B9" s="18"/>
      <c r="C9" s="12"/>
      <c r="D9" s="12"/>
      <c r="E9" s="12"/>
      <c r="F9" s="12"/>
      <c r="G9" s="12"/>
      <c r="H9" s="12"/>
      <c r="I9" s="12"/>
      <c r="J9" s="12"/>
      <c r="K9" s="12"/>
      <c r="L9" s="12"/>
      <c r="M9" s="12"/>
      <c r="N9" s="12"/>
      <c r="O9" s="12"/>
      <c r="P9" s="12"/>
      <c r="Q9" s="12"/>
      <c r="R9" s="12"/>
      <c r="S9" s="19"/>
    </row>
    <row r="10" spans="2:19" x14ac:dyDescent="0.25">
      <c r="B10" s="18"/>
      <c r="C10" s="12"/>
      <c r="D10" s="12"/>
      <c r="E10" s="12"/>
      <c r="F10" s="12"/>
      <c r="G10" s="12"/>
      <c r="H10" s="12"/>
      <c r="I10" s="12"/>
      <c r="J10" s="12"/>
      <c r="K10" s="12"/>
      <c r="L10" s="12"/>
      <c r="M10" s="12"/>
      <c r="N10" s="12"/>
      <c r="O10" s="12"/>
      <c r="P10" s="12"/>
      <c r="Q10" s="12"/>
      <c r="R10" s="12"/>
      <c r="S10" s="19"/>
    </row>
    <row r="11" spans="2:19" x14ac:dyDescent="0.25">
      <c r="B11" s="18"/>
      <c r="C11" s="12"/>
      <c r="D11" s="12"/>
      <c r="E11" s="12"/>
      <c r="F11" s="12"/>
      <c r="G11" s="12"/>
      <c r="H11" s="12"/>
      <c r="I11" s="12"/>
      <c r="J11" s="12"/>
      <c r="K11" s="12"/>
      <c r="L11" s="12"/>
      <c r="M11" s="12"/>
      <c r="N11" s="12"/>
      <c r="O11" s="12"/>
      <c r="P11" s="12"/>
      <c r="Q11" s="12"/>
      <c r="R11" s="12"/>
      <c r="S11" s="19"/>
    </row>
    <row r="12" spans="2:19" x14ac:dyDescent="0.25">
      <c r="B12" s="18"/>
      <c r="C12" s="12"/>
      <c r="D12" s="12"/>
      <c r="E12" s="12"/>
      <c r="F12" s="12"/>
      <c r="G12" s="12"/>
      <c r="H12" s="12"/>
      <c r="I12" s="12"/>
      <c r="J12" s="12"/>
      <c r="K12" s="12"/>
      <c r="L12" s="12"/>
      <c r="M12" s="12"/>
      <c r="N12" s="12"/>
      <c r="O12" s="12"/>
      <c r="P12" s="12"/>
      <c r="Q12" s="12"/>
      <c r="R12" s="12"/>
      <c r="S12" s="19"/>
    </row>
    <row r="13" spans="2:19" x14ac:dyDescent="0.25">
      <c r="B13" s="18"/>
      <c r="C13" s="12"/>
      <c r="D13" s="12"/>
      <c r="E13" s="12"/>
      <c r="F13" s="12"/>
      <c r="G13" s="12"/>
      <c r="H13" s="12"/>
      <c r="I13" s="12"/>
      <c r="J13" s="12"/>
      <c r="K13" s="12"/>
      <c r="L13" s="12"/>
      <c r="M13" s="12"/>
      <c r="N13" s="12"/>
      <c r="O13" s="12"/>
      <c r="P13" s="12"/>
      <c r="Q13" s="12"/>
      <c r="R13" s="12"/>
      <c r="S13" s="19"/>
    </row>
    <row r="14" spans="2:19" x14ac:dyDescent="0.25">
      <c r="B14" s="18"/>
      <c r="C14" s="12"/>
      <c r="D14" s="12"/>
      <c r="E14" s="12"/>
      <c r="F14" s="12"/>
      <c r="G14" s="12"/>
      <c r="H14" s="12"/>
      <c r="I14" s="12"/>
      <c r="J14" s="12"/>
      <c r="K14" s="12"/>
      <c r="L14" s="12"/>
      <c r="M14" s="12"/>
      <c r="N14" s="12"/>
      <c r="O14" s="12"/>
      <c r="P14" s="12"/>
      <c r="Q14" s="12"/>
      <c r="R14" s="12"/>
      <c r="S14" s="19"/>
    </row>
    <row r="15" spans="2:19" x14ac:dyDescent="0.25">
      <c r="B15" s="18"/>
      <c r="C15" s="12"/>
      <c r="D15" s="12"/>
      <c r="E15" s="12"/>
      <c r="F15" s="12"/>
      <c r="G15" s="12"/>
      <c r="H15" s="12"/>
      <c r="I15" s="12"/>
      <c r="J15" s="12"/>
      <c r="K15" s="12"/>
      <c r="L15" s="12"/>
      <c r="M15" s="12"/>
      <c r="N15" s="12"/>
      <c r="O15" s="12"/>
      <c r="P15" s="12"/>
      <c r="Q15" s="12"/>
      <c r="R15" s="12"/>
      <c r="S15" s="19"/>
    </row>
    <row r="16" spans="2:19" x14ac:dyDescent="0.25">
      <c r="B16" s="18"/>
      <c r="C16" s="12"/>
      <c r="D16" s="12"/>
      <c r="E16" s="12"/>
      <c r="F16" s="12"/>
      <c r="G16" s="12"/>
      <c r="H16" s="12"/>
      <c r="I16" s="12"/>
      <c r="J16" s="12"/>
      <c r="K16" s="12"/>
      <c r="L16" s="12"/>
      <c r="M16" s="12"/>
      <c r="N16" s="12"/>
      <c r="O16" s="12"/>
      <c r="P16" s="12"/>
      <c r="Q16" s="12"/>
      <c r="R16" s="12"/>
      <c r="S16" s="19"/>
    </row>
    <row r="17" spans="2:22" x14ac:dyDescent="0.25">
      <c r="B17" s="18"/>
      <c r="C17" s="12"/>
      <c r="D17" s="12"/>
      <c r="E17" s="12"/>
      <c r="F17" s="12"/>
      <c r="G17" s="12"/>
      <c r="H17" s="12"/>
      <c r="I17" s="12"/>
      <c r="J17" s="12"/>
      <c r="K17" s="12"/>
      <c r="L17" s="12"/>
      <c r="M17" s="12"/>
      <c r="N17" s="12"/>
      <c r="O17" s="12"/>
      <c r="P17" s="12"/>
      <c r="Q17" s="12"/>
      <c r="R17" s="12"/>
      <c r="S17" s="19"/>
    </row>
    <row r="18" spans="2:22" x14ac:dyDescent="0.25">
      <c r="B18" s="18"/>
      <c r="C18" s="12"/>
      <c r="D18" s="12"/>
      <c r="E18" s="12"/>
      <c r="F18" s="12"/>
      <c r="G18" s="12"/>
      <c r="H18" s="12"/>
      <c r="I18" s="12"/>
      <c r="J18" s="12"/>
      <c r="K18" s="12"/>
      <c r="L18" s="12"/>
      <c r="M18" s="12"/>
      <c r="N18" s="12"/>
      <c r="O18" s="12"/>
      <c r="P18" s="12"/>
      <c r="Q18" s="12"/>
      <c r="R18" s="12"/>
      <c r="S18" s="19"/>
    </row>
    <row r="19" spans="2:22" x14ac:dyDescent="0.25">
      <c r="B19" s="18"/>
      <c r="C19" s="12"/>
      <c r="D19" s="12"/>
      <c r="E19" s="12"/>
      <c r="F19" s="12"/>
      <c r="G19" s="12"/>
      <c r="H19" s="12"/>
      <c r="I19" s="12"/>
      <c r="J19" s="12"/>
      <c r="K19" s="12"/>
      <c r="L19" s="12"/>
      <c r="M19" s="12"/>
      <c r="N19" s="12"/>
      <c r="O19" s="12"/>
      <c r="P19" s="12"/>
      <c r="Q19" s="12"/>
      <c r="R19" s="12"/>
      <c r="S19" s="19"/>
    </row>
    <row r="20" spans="2:22" x14ac:dyDescent="0.25">
      <c r="B20" s="18"/>
      <c r="C20" s="12"/>
      <c r="D20" s="12"/>
      <c r="E20" s="12"/>
      <c r="F20" s="12"/>
      <c r="G20" s="12"/>
      <c r="H20" s="12"/>
      <c r="I20" s="12"/>
      <c r="J20" s="12"/>
      <c r="K20" s="12"/>
      <c r="L20" s="12"/>
      <c r="M20" s="12"/>
      <c r="N20" s="12"/>
      <c r="O20" s="12"/>
      <c r="P20" s="12"/>
      <c r="Q20" s="12"/>
      <c r="R20" s="12"/>
      <c r="S20" s="19"/>
    </row>
    <row r="21" spans="2:22" x14ac:dyDescent="0.25">
      <c r="B21" s="18"/>
      <c r="C21" s="12"/>
      <c r="D21" s="12"/>
      <c r="E21" s="12"/>
      <c r="F21" s="12"/>
      <c r="G21" s="12"/>
      <c r="H21" s="12"/>
      <c r="I21" s="12"/>
      <c r="J21" s="12"/>
      <c r="K21" s="12"/>
      <c r="L21" s="12"/>
      <c r="M21" s="12"/>
      <c r="N21" s="12"/>
      <c r="O21" s="12"/>
      <c r="P21" s="12"/>
      <c r="Q21" s="12"/>
      <c r="R21" s="12"/>
      <c r="S21" s="19"/>
    </row>
    <row r="22" spans="2:22" x14ac:dyDescent="0.25">
      <c r="B22" s="18"/>
      <c r="C22" s="12"/>
      <c r="D22" s="12"/>
      <c r="E22" s="12"/>
      <c r="F22" s="12"/>
      <c r="G22" s="12"/>
      <c r="H22" s="12"/>
      <c r="I22" s="12"/>
      <c r="J22" s="12"/>
      <c r="K22" s="12"/>
      <c r="L22" s="12"/>
      <c r="M22" s="12"/>
      <c r="N22" s="12"/>
      <c r="O22" s="12"/>
      <c r="P22" s="12"/>
      <c r="Q22" s="12"/>
      <c r="R22" s="12"/>
      <c r="S22" s="19"/>
      <c r="T22" s="14"/>
      <c r="V22" s="13"/>
    </row>
    <row r="23" spans="2:22" x14ac:dyDescent="0.25">
      <c r="B23" s="18"/>
      <c r="C23" s="12"/>
      <c r="D23" s="12"/>
      <c r="E23" s="12"/>
      <c r="F23" s="12"/>
      <c r="G23" s="12"/>
      <c r="H23" s="12"/>
      <c r="I23" s="12"/>
      <c r="J23" s="12"/>
      <c r="K23" s="12"/>
      <c r="L23" s="12"/>
      <c r="M23" s="12"/>
      <c r="N23" s="12"/>
      <c r="O23" s="12"/>
      <c r="P23" s="12"/>
      <c r="Q23" s="12"/>
      <c r="R23" s="12"/>
      <c r="S23" s="19"/>
    </row>
    <row r="24" spans="2:22" x14ac:dyDescent="0.25">
      <c r="B24" s="18"/>
      <c r="C24" s="12"/>
      <c r="D24" s="12"/>
      <c r="E24" s="12"/>
      <c r="F24" s="12"/>
      <c r="G24" s="12"/>
      <c r="H24" s="12"/>
      <c r="I24" s="12"/>
      <c r="J24" s="12"/>
      <c r="K24" s="12"/>
      <c r="L24" s="12"/>
      <c r="M24" s="12"/>
      <c r="N24" s="12"/>
      <c r="O24" s="12"/>
      <c r="P24" s="12"/>
      <c r="Q24" s="12"/>
      <c r="R24" s="12"/>
      <c r="S24" s="19"/>
    </row>
    <row r="25" spans="2:22" x14ac:dyDescent="0.25">
      <c r="B25" s="18"/>
      <c r="C25" s="12"/>
      <c r="D25" s="12"/>
      <c r="E25" s="12"/>
      <c r="F25" s="12"/>
      <c r="G25" s="12"/>
      <c r="H25" s="12"/>
      <c r="I25" s="12"/>
      <c r="J25" s="12"/>
      <c r="K25" s="12"/>
      <c r="L25" s="12"/>
      <c r="M25" s="12"/>
      <c r="N25" s="12"/>
      <c r="O25" s="12"/>
      <c r="P25" s="12"/>
      <c r="Q25" s="12"/>
      <c r="R25" s="12"/>
      <c r="S25" s="19"/>
    </row>
    <row r="26" spans="2:22" x14ac:dyDescent="0.25">
      <c r="B26" s="18"/>
      <c r="C26" s="12"/>
      <c r="D26" s="12"/>
      <c r="E26" s="12"/>
      <c r="F26" s="12"/>
      <c r="G26" s="12"/>
      <c r="H26" s="12"/>
      <c r="I26" s="12"/>
      <c r="J26" s="12"/>
      <c r="K26" s="12"/>
      <c r="L26" s="12"/>
      <c r="M26" s="12"/>
      <c r="N26" s="12"/>
      <c r="O26" s="12"/>
      <c r="P26" s="12"/>
      <c r="Q26" s="12"/>
      <c r="R26" s="12"/>
      <c r="S26" s="19"/>
    </row>
    <row r="27" spans="2:22" ht="15.75" thickBot="1" x14ac:dyDescent="0.3">
      <c r="B27" s="20"/>
      <c r="C27" s="21"/>
      <c r="D27" s="21"/>
      <c r="E27" s="21"/>
      <c r="F27" s="21"/>
      <c r="G27" s="21"/>
      <c r="H27" s="21"/>
      <c r="I27" s="21"/>
      <c r="J27" s="21"/>
      <c r="K27" s="21"/>
      <c r="L27" s="21"/>
      <c r="M27" s="21"/>
      <c r="N27" s="21"/>
      <c r="O27" s="21"/>
      <c r="P27" s="21"/>
      <c r="Q27" s="21"/>
      <c r="R27" s="21"/>
      <c r="S27" s="22"/>
    </row>
  </sheetData>
  <mergeCells count="3">
    <mergeCell ref="A1:XFD1"/>
    <mergeCell ref="A2:A1048576"/>
    <mergeCell ref="B2:S27"/>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189C-4A7C-45D5-A874-4370BB50982B}">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10C6-15EF-413F-A46F-642339997E29}">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157E-668E-4D6B-81BB-58E22860E91F}">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8D009D8-373E-4F5A-8C1A-7C1BCEB5DD15}">
  <ds:schemaRefs/>
</ds:datastoreItem>
</file>

<file path=customXml/itemProps2.xml><?xml version="1.0" encoding="utf-8"?>
<ds:datastoreItem xmlns:ds="http://schemas.openxmlformats.org/officeDocument/2006/customXml" ds:itemID="{AA45631A-96CA-4085-BB4E-37CA7A331BEE}">
  <ds:schemaRefs/>
</ds:datastoreItem>
</file>

<file path=customXml/itemProps3.xml><?xml version="1.0" encoding="utf-8"?>
<ds:datastoreItem xmlns:ds="http://schemas.openxmlformats.org/officeDocument/2006/customXml" ds:itemID="{4DD54052-B382-46C0-B37A-0DDA81C5BFCB}">
  <ds:schemaRefs/>
</ds:datastoreItem>
</file>

<file path=customXml/itemProps4.xml><?xml version="1.0" encoding="utf-8"?>
<ds:datastoreItem xmlns:ds="http://schemas.openxmlformats.org/officeDocument/2006/customXml" ds:itemID="{6142206C-9557-4717-90D4-4A0E02F6F32E}">
  <ds:schemaRefs/>
</ds:datastoreItem>
</file>

<file path=customXml/itemProps5.xml><?xml version="1.0" encoding="utf-8"?>
<ds:datastoreItem xmlns:ds="http://schemas.openxmlformats.org/officeDocument/2006/customXml" ds:itemID="{DDD4EDEA-926D-4546-931C-4758F38320E8}">
  <ds:schemaRefs/>
</ds:datastoreItem>
</file>

<file path=customXml/itemProps6.xml><?xml version="1.0" encoding="utf-8"?>
<ds:datastoreItem xmlns:ds="http://schemas.openxmlformats.org/officeDocument/2006/customXml" ds:itemID="{1D642C41-25D5-44AA-A17A-8652DBB427EB}">
  <ds:schemaRefs/>
</ds:datastoreItem>
</file>

<file path=customXml/itemProps7.xml><?xml version="1.0" encoding="utf-8"?>
<ds:datastoreItem xmlns:ds="http://schemas.openxmlformats.org/officeDocument/2006/customXml" ds:itemID="{06624B95-5C76-4FAB-8ABA-8B35821D34C7}">
  <ds:schemaRefs/>
</ds:datastoreItem>
</file>

<file path=customXml/itemProps8.xml><?xml version="1.0" encoding="utf-8"?>
<ds:datastoreItem xmlns:ds="http://schemas.openxmlformats.org/officeDocument/2006/customXml" ds:itemID="{A3824F3B-7E7D-445A-81A0-0CB283345939}">
  <ds:schemaRefs/>
</ds:datastoreItem>
</file>

<file path=customXml/itemProps9.xml><?xml version="1.0" encoding="utf-8"?>
<ds:datastoreItem xmlns:ds="http://schemas.openxmlformats.org/officeDocument/2006/customXml" ds:itemID="{1C20EC37-6F43-436B-8BB2-3B5831D08138}">
  <ds:schemaRefs/>
</ds:datastoreItem>
</file>

<file path=customXml/itemProps10.xml><?xml version="1.0" encoding="utf-8"?>
<ds:datastoreItem xmlns:ds="http://schemas.openxmlformats.org/officeDocument/2006/customXml" ds:itemID="{53C5DC08-51DD-437C-9E4E-CDBC64D63568}">
  <ds:schemaRefs/>
</ds:datastoreItem>
</file>

<file path=customXml/itemProps11.xml><?xml version="1.0" encoding="utf-8"?>
<ds:datastoreItem xmlns:ds="http://schemas.openxmlformats.org/officeDocument/2006/customXml" ds:itemID="{3CC8EB33-E1CB-435A-B67A-A273AA1E4CA6}">
  <ds:schemaRefs/>
</ds:datastoreItem>
</file>

<file path=customXml/itemProps12.xml><?xml version="1.0" encoding="utf-8"?>
<ds:datastoreItem xmlns:ds="http://schemas.openxmlformats.org/officeDocument/2006/customXml" ds:itemID="{F8F98F46-0861-4937-AAE9-C34D981ACEB4}">
  <ds:schemaRefs/>
</ds:datastoreItem>
</file>

<file path=customXml/itemProps13.xml><?xml version="1.0" encoding="utf-8"?>
<ds:datastoreItem xmlns:ds="http://schemas.openxmlformats.org/officeDocument/2006/customXml" ds:itemID="{8456248F-08F7-4215-8D0A-DF987BF3B18F}">
  <ds:schemaRefs/>
</ds:datastoreItem>
</file>

<file path=customXml/itemProps14.xml><?xml version="1.0" encoding="utf-8"?>
<ds:datastoreItem xmlns:ds="http://schemas.openxmlformats.org/officeDocument/2006/customXml" ds:itemID="{0329E196-4628-444B-A9F9-7F1041EF9920}">
  <ds:schemaRefs/>
</ds:datastoreItem>
</file>

<file path=customXml/itemProps15.xml><?xml version="1.0" encoding="utf-8"?>
<ds:datastoreItem xmlns:ds="http://schemas.openxmlformats.org/officeDocument/2006/customXml" ds:itemID="{A5AE3357-8889-4175-9DAC-F6560F0D5A85}">
  <ds:schemaRefs/>
</ds:datastoreItem>
</file>

<file path=customXml/itemProps16.xml><?xml version="1.0" encoding="utf-8"?>
<ds:datastoreItem xmlns:ds="http://schemas.openxmlformats.org/officeDocument/2006/customXml" ds:itemID="{728C5394-139A-431B-B9B1-5CEE5CAB25D4}">
  <ds:schemaRefs/>
</ds:datastoreItem>
</file>

<file path=customXml/itemProps17.xml><?xml version="1.0" encoding="utf-8"?>
<ds:datastoreItem xmlns:ds="http://schemas.openxmlformats.org/officeDocument/2006/customXml" ds:itemID="{D4CA9CD8-026C-47C7-B6AB-62092B604987}">
  <ds:schemaRefs/>
</ds:datastoreItem>
</file>

<file path=customXml/itemProps18.xml><?xml version="1.0" encoding="utf-8"?>
<ds:datastoreItem xmlns:ds="http://schemas.openxmlformats.org/officeDocument/2006/customXml" ds:itemID="{6C82832F-3839-4495-8336-53696D671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paitent</vt:lpstr>
      <vt:lpstr>Average wait time daily trend</vt:lpstr>
      <vt:lpstr>Satisfaction score 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Singh</dc:creator>
  <cp:lastModifiedBy>Shivam Singh</cp:lastModifiedBy>
  <dcterms:created xsi:type="dcterms:W3CDTF">2026-10-19T03:53:42Z</dcterms:created>
  <dcterms:modified xsi:type="dcterms:W3CDTF">2026-10-22T04:28:41Z</dcterms:modified>
</cp:coreProperties>
</file>